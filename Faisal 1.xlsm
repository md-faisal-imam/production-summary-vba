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New folder\"/>
    </mc:Choice>
  </mc:AlternateContent>
  <bookViews>
    <workbookView xWindow="0" yWindow="0" windowWidth="20490" windowHeight="7650" firstSheet="14" activeTab="17"/>
  </bookViews>
  <sheets>
    <sheet name="01.09.25 A Shiift   " sheetId="85" r:id="rId1"/>
    <sheet name="01.09.25 B Shiift   " sheetId="84" r:id="rId2"/>
    <sheet name="02.09.25 A Shiift " sheetId="87" r:id="rId3"/>
    <sheet name="02.09.25 B Shiift  " sheetId="88" r:id="rId4"/>
    <sheet name="03.09.25 A Shiift" sheetId="89" r:id="rId5"/>
    <sheet name="03.09.25 B Shiift " sheetId="90" r:id="rId6"/>
    <sheet name="04.09.25 A Shiift " sheetId="91" r:id="rId7"/>
    <sheet name="04.09.25 B Shiift " sheetId="92" r:id="rId8"/>
    <sheet name="05.09.25 A Shiift " sheetId="93" r:id="rId9"/>
    <sheet name="05.09.25 B Shiift " sheetId="94" r:id="rId10"/>
    <sheet name="06.09.25  A Shiift " sheetId="95" r:id="rId11"/>
    <sheet name="06.09.25  B Shiift " sheetId="96" r:id="rId12"/>
    <sheet name="06.09.25  C Shiift " sheetId="97" r:id="rId13"/>
    <sheet name="07.09.25  A Shiift  " sheetId="98" r:id="rId14"/>
    <sheet name="07.09.25  B Shiift  " sheetId="99" r:id="rId15"/>
    <sheet name="08.09.25 A Shiift  " sheetId="100" r:id="rId16"/>
    <sheet name="08.09.25 B Shiift  " sheetId="101" r:id="rId17"/>
    <sheet name="09.09.25 A Shiift" sheetId="102" r:id="rId18"/>
    <sheet name="09.09.25 B Shiift" sheetId="103" r:id="rId19"/>
  </sheets>
  <functionGroups builtInGroupCount="18"/>
  <externalReferences>
    <externalReference r:id="rId20"/>
    <externalReference r:id="rId21"/>
    <externalReference r:id="rId22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2" i="103" l="1"/>
  <c r="I32" i="103"/>
  <c r="O31" i="103"/>
  <c r="L31" i="103"/>
  <c r="H31" i="103"/>
  <c r="K31" i="103" s="1"/>
  <c r="J31" i="103" s="1"/>
  <c r="F31" i="103"/>
  <c r="E31" i="103"/>
  <c r="O30" i="103"/>
  <c r="L30" i="103"/>
  <c r="K30" i="103"/>
  <c r="J30" i="103" s="1"/>
  <c r="H30" i="103"/>
  <c r="F30" i="103"/>
  <c r="E30" i="103"/>
  <c r="O29" i="103"/>
  <c r="L29" i="103"/>
  <c r="K29" i="103"/>
  <c r="J29" i="103"/>
  <c r="H29" i="103"/>
  <c r="F29" i="103"/>
  <c r="E29" i="103"/>
  <c r="O28" i="103"/>
  <c r="L28" i="103"/>
  <c r="H28" i="103"/>
  <c r="K28" i="103" s="1"/>
  <c r="J28" i="103" s="1"/>
  <c r="F28" i="103"/>
  <c r="E28" i="103"/>
  <c r="O27" i="103"/>
  <c r="L27" i="103"/>
  <c r="H27" i="103"/>
  <c r="K27" i="103" s="1"/>
  <c r="J27" i="103" s="1"/>
  <c r="F27" i="103"/>
  <c r="E27" i="103"/>
  <c r="O26" i="103"/>
  <c r="L26" i="103"/>
  <c r="K26" i="103"/>
  <c r="J26" i="103" s="1"/>
  <c r="H26" i="103"/>
  <c r="F26" i="103"/>
  <c r="E26" i="103"/>
  <c r="L25" i="103"/>
  <c r="H25" i="103"/>
  <c r="K25" i="103" s="1"/>
  <c r="F25" i="103"/>
  <c r="E25" i="103"/>
  <c r="O24" i="103"/>
  <c r="L24" i="103"/>
  <c r="K24" i="103"/>
  <c r="J24" i="103" s="1"/>
  <c r="H24" i="103"/>
  <c r="F24" i="103"/>
  <c r="E24" i="103"/>
  <c r="L23" i="103"/>
  <c r="H23" i="103"/>
  <c r="K23" i="103" s="1"/>
  <c r="F23" i="103"/>
  <c r="E23" i="103"/>
  <c r="O22" i="103"/>
  <c r="L22" i="103"/>
  <c r="K22" i="103"/>
  <c r="J22" i="103" s="1"/>
  <c r="H22" i="103"/>
  <c r="F22" i="103"/>
  <c r="E22" i="103"/>
  <c r="L21" i="103"/>
  <c r="H21" i="103"/>
  <c r="K21" i="103" s="1"/>
  <c r="F21" i="103"/>
  <c r="E21" i="103"/>
  <c r="L20" i="103"/>
  <c r="H20" i="103"/>
  <c r="K20" i="103" s="1"/>
  <c r="F20" i="103"/>
  <c r="E20" i="103"/>
  <c r="L19" i="103"/>
  <c r="K19" i="103"/>
  <c r="H19" i="103"/>
  <c r="F19" i="103"/>
  <c r="E19" i="103"/>
  <c r="O18" i="103"/>
  <c r="L18" i="103"/>
  <c r="H18" i="103"/>
  <c r="K18" i="103" s="1"/>
  <c r="J18" i="103" s="1"/>
  <c r="F18" i="103"/>
  <c r="E18" i="103"/>
  <c r="O17" i="103"/>
  <c r="L17" i="103"/>
  <c r="H17" i="103"/>
  <c r="K17" i="103" s="1"/>
  <c r="J17" i="103" s="1"/>
  <c r="F17" i="103"/>
  <c r="E17" i="103"/>
  <c r="O16" i="103"/>
  <c r="L16" i="103"/>
  <c r="K16" i="103"/>
  <c r="J16" i="103" s="1"/>
  <c r="H16" i="103"/>
  <c r="F16" i="103"/>
  <c r="E16" i="103"/>
  <c r="O15" i="103"/>
  <c r="L15" i="103"/>
  <c r="K15" i="103"/>
  <c r="J15" i="103"/>
  <c r="H15" i="103"/>
  <c r="F15" i="103"/>
  <c r="E15" i="103"/>
  <c r="O14" i="103"/>
  <c r="L14" i="103"/>
  <c r="H14" i="103"/>
  <c r="K14" i="103" s="1"/>
  <c r="J14" i="103" s="1"/>
  <c r="F14" i="103"/>
  <c r="E14" i="103"/>
  <c r="O13" i="103"/>
  <c r="L13" i="103"/>
  <c r="H13" i="103"/>
  <c r="K13" i="103" s="1"/>
  <c r="J13" i="103" s="1"/>
  <c r="F13" i="103"/>
  <c r="E13" i="103"/>
  <c r="L12" i="103"/>
  <c r="H12" i="103"/>
  <c r="K12" i="103" s="1"/>
  <c r="F12" i="103"/>
  <c r="E12" i="103"/>
  <c r="O11" i="103"/>
  <c r="L11" i="103"/>
  <c r="H11" i="103"/>
  <c r="K11" i="103" s="1"/>
  <c r="J11" i="103" s="1"/>
  <c r="F11" i="103"/>
  <c r="E11" i="103"/>
  <c r="L10" i="103"/>
  <c r="H10" i="103"/>
  <c r="K10" i="103" s="1"/>
  <c r="F10" i="103"/>
  <c r="E10" i="103"/>
  <c r="O9" i="103"/>
  <c r="L9" i="103"/>
  <c r="H9" i="103"/>
  <c r="K9" i="103" s="1"/>
  <c r="J9" i="103" s="1"/>
  <c r="F9" i="103"/>
  <c r="E9" i="103"/>
  <c r="O8" i="103"/>
  <c r="L8" i="103"/>
  <c r="K8" i="103"/>
  <c r="J8" i="103" s="1"/>
  <c r="H8" i="103"/>
  <c r="F8" i="103"/>
  <c r="E8" i="103"/>
  <c r="O7" i="103"/>
  <c r="L7" i="103"/>
  <c r="K7" i="103"/>
  <c r="J7" i="103"/>
  <c r="H7" i="103"/>
  <c r="F7" i="103"/>
  <c r="E7" i="103"/>
  <c r="O6" i="103"/>
  <c r="L6" i="103"/>
  <c r="K6" i="103"/>
  <c r="J6" i="103"/>
  <c r="H6" i="103"/>
  <c r="F6" i="103"/>
  <c r="E6" i="103"/>
  <c r="K31" i="102"/>
  <c r="I31" i="102"/>
  <c r="L30" i="102"/>
  <c r="K30" i="102"/>
  <c r="H30" i="102"/>
  <c r="F30" i="102"/>
  <c r="E30" i="102"/>
  <c r="O29" i="102"/>
  <c r="L29" i="102"/>
  <c r="H29" i="102"/>
  <c r="K29" i="102" s="1"/>
  <c r="J29" i="102" s="1"/>
  <c r="F29" i="102"/>
  <c r="E29" i="102"/>
  <c r="O28" i="102"/>
  <c r="L28" i="102"/>
  <c r="K28" i="102"/>
  <c r="J28" i="102"/>
  <c r="H28" i="102"/>
  <c r="F28" i="102"/>
  <c r="E28" i="102"/>
  <c r="O27" i="102"/>
  <c r="L27" i="102"/>
  <c r="K27" i="102"/>
  <c r="J27" i="102" s="1"/>
  <c r="H27" i="102"/>
  <c r="F27" i="102"/>
  <c r="E27" i="102"/>
  <c r="O26" i="102"/>
  <c r="L26" i="102"/>
  <c r="H26" i="102"/>
  <c r="K26" i="102" s="1"/>
  <c r="J26" i="102" s="1"/>
  <c r="F26" i="102"/>
  <c r="E26" i="102"/>
  <c r="O25" i="102"/>
  <c r="L25" i="102"/>
  <c r="H25" i="102"/>
  <c r="K25" i="102" s="1"/>
  <c r="J25" i="102" s="1"/>
  <c r="F25" i="102"/>
  <c r="E25" i="102"/>
  <c r="O24" i="102"/>
  <c r="L24" i="102"/>
  <c r="H24" i="102"/>
  <c r="K24" i="102" s="1"/>
  <c r="J24" i="102" s="1"/>
  <c r="F24" i="102"/>
  <c r="E24" i="102"/>
  <c r="L23" i="102"/>
  <c r="H23" i="102"/>
  <c r="K23" i="102" s="1"/>
  <c r="F23" i="102"/>
  <c r="E23" i="102"/>
  <c r="L22" i="102"/>
  <c r="K22" i="102"/>
  <c r="H22" i="102"/>
  <c r="F22" i="102"/>
  <c r="E22" i="102"/>
  <c r="O21" i="102"/>
  <c r="L21" i="102"/>
  <c r="H21" i="102"/>
  <c r="K21" i="102" s="1"/>
  <c r="J21" i="102" s="1"/>
  <c r="F21" i="102"/>
  <c r="E21" i="102"/>
  <c r="H20" i="102"/>
  <c r="K20" i="102" s="1"/>
  <c r="F20" i="102"/>
  <c r="E20" i="102"/>
  <c r="O19" i="102"/>
  <c r="K19" i="102"/>
  <c r="J19" i="102" s="1"/>
  <c r="H19" i="102"/>
  <c r="F19" i="102"/>
  <c r="E19" i="102"/>
  <c r="L18" i="102"/>
  <c r="K18" i="102"/>
  <c r="H18" i="102"/>
  <c r="F18" i="102"/>
  <c r="E18" i="102"/>
  <c r="O17" i="102"/>
  <c r="L17" i="102"/>
  <c r="K17" i="102"/>
  <c r="J17" i="102" s="1"/>
  <c r="H17" i="102"/>
  <c r="F17" i="102"/>
  <c r="E17" i="102"/>
  <c r="O16" i="102"/>
  <c r="L16" i="102"/>
  <c r="H16" i="102"/>
  <c r="K16" i="102" s="1"/>
  <c r="J16" i="102" s="1"/>
  <c r="F16" i="102"/>
  <c r="E16" i="102"/>
  <c r="O15" i="102"/>
  <c r="L15" i="102"/>
  <c r="H15" i="102"/>
  <c r="K15" i="102" s="1"/>
  <c r="J15" i="102" s="1"/>
  <c r="F15" i="102"/>
  <c r="E15" i="102"/>
  <c r="O14" i="102"/>
  <c r="L14" i="102"/>
  <c r="K14" i="102"/>
  <c r="J14" i="102"/>
  <c r="H14" i="102"/>
  <c r="F14" i="102"/>
  <c r="E14" i="102"/>
  <c r="O13" i="102"/>
  <c r="L13" i="102"/>
  <c r="K13" i="102"/>
  <c r="J13" i="102" s="1"/>
  <c r="H13" i="102"/>
  <c r="F13" i="102"/>
  <c r="E13" i="102"/>
  <c r="O12" i="102"/>
  <c r="L12" i="102"/>
  <c r="H12" i="102"/>
  <c r="K12" i="102" s="1"/>
  <c r="J12" i="102" s="1"/>
  <c r="F12" i="102"/>
  <c r="E12" i="102"/>
  <c r="O11" i="102"/>
  <c r="L11" i="102"/>
  <c r="H11" i="102"/>
  <c r="K11" i="102" s="1"/>
  <c r="J11" i="102" s="1"/>
  <c r="F11" i="102"/>
  <c r="E11" i="102"/>
  <c r="L10" i="102"/>
  <c r="K10" i="102"/>
  <c r="H10" i="102"/>
  <c r="F10" i="102"/>
  <c r="E10" i="102"/>
  <c r="O9" i="102"/>
  <c r="L9" i="102"/>
  <c r="H9" i="102"/>
  <c r="K9" i="102" s="1"/>
  <c r="J9" i="102" s="1"/>
  <c r="F9" i="102"/>
  <c r="E9" i="102"/>
  <c r="O8" i="102"/>
  <c r="L8" i="102"/>
  <c r="K8" i="102"/>
  <c r="J8" i="102"/>
  <c r="H8" i="102"/>
  <c r="F8" i="102"/>
  <c r="E8" i="102"/>
  <c r="O7" i="102"/>
  <c r="L7" i="102"/>
  <c r="K7" i="102"/>
  <c r="J7" i="102" s="1"/>
  <c r="H7" i="102"/>
  <c r="F7" i="102"/>
  <c r="E7" i="102"/>
  <c r="O6" i="102"/>
  <c r="L6" i="102"/>
  <c r="K6" i="102"/>
  <c r="H6" i="102"/>
  <c r="F6" i="102"/>
  <c r="E6" i="102"/>
  <c r="I29" i="101"/>
  <c r="O28" i="101"/>
  <c r="L28" i="101"/>
  <c r="K28" i="101"/>
  <c r="J28" i="101" s="1"/>
  <c r="H28" i="101"/>
  <c r="F28" i="101"/>
  <c r="E28" i="101"/>
  <c r="O27" i="101"/>
  <c r="L27" i="101"/>
  <c r="K27" i="101"/>
  <c r="J27" i="101"/>
  <c r="H27" i="101"/>
  <c r="F27" i="101"/>
  <c r="E27" i="101"/>
  <c r="L26" i="101"/>
  <c r="K26" i="101"/>
  <c r="H26" i="101"/>
  <c r="F26" i="101"/>
  <c r="E26" i="101"/>
  <c r="O25" i="101"/>
  <c r="L25" i="101"/>
  <c r="K25" i="101"/>
  <c r="J25" i="101"/>
  <c r="H25" i="101"/>
  <c r="F25" i="101"/>
  <c r="E25" i="101"/>
  <c r="O24" i="101"/>
  <c r="L24" i="101"/>
  <c r="K24" i="101"/>
  <c r="J24" i="101"/>
  <c r="H24" i="101"/>
  <c r="F24" i="101"/>
  <c r="E24" i="101"/>
  <c r="O23" i="101"/>
  <c r="L23" i="101"/>
  <c r="K23" i="101"/>
  <c r="J23" i="101" s="1"/>
  <c r="H23" i="101"/>
  <c r="F23" i="101"/>
  <c r="E23" i="101"/>
  <c r="O22" i="101"/>
  <c r="L22" i="101"/>
  <c r="K22" i="101"/>
  <c r="J22" i="101" s="1"/>
  <c r="H22" i="101"/>
  <c r="F22" i="101"/>
  <c r="E22" i="101"/>
  <c r="O21" i="101"/>
  <c r="L21" i="101"/>
  <c r="K21" i="101"/>
  <c r="J21" i="101"/>
  <c r="H21" i="101"/>
  <c r="F21" i="101"/>
  <c r="E21" i="101"/>
  <c r="K20" i="101"/>
  <c r="H20" i="101"/>
  <c r="F20" i="101"/>
  <c r="E20" i="101"/>
  <c r="O19" i="101"/>
  <c r="K19" i="101"/>
  <c r="J19" i="101" s="1"/>
  <c r="H19" i="101"/>
  <c r="F19" i="101"/>
  <c r="E19" i="101"/>
  <c r="L18" i="101"/>
  <c r="K18" i="101"/>
  <c r="H18" i="101"/>
  <c r="F18" i="101"/>
  <c r="E18" i="101"/>
  <c r="O17" i="101"/>
  <c r="L17" i="101"/>
  <c r="K17" i="101"/>
  <c r="J17" i="101" s="1"/>
  <c r="H17" i="101"/>
  <c r="F17" i="101"/>
  <c r="E17" i="101"/>
  <c r="O16" i="101"/>
  <c r="L16" i="101"/>
  <c r="K16" i="101"/>
  <c r="J16" i="101" s="1"/>
  <c r="H16" i="101"/>
  <c r="F16" i="101"/>
  <c r="E16" i="101"/>
  <c r="O15" i="101"/>
  <c r="L15" i="101"/>
  <c r="K15" i="101"/>
  <c r="J15" i="101"/>
  <c r="H15" i="101"/>
  <c r="F15" i="101"/>
  <c r="E15" i="101"/>
  <c r="O14" i="101"/>
  <c r="L14" i="101"/>
  <c r="K14" i="101"/>
  <c r="J14" i="101"/>
  <c r="H14" i="101"/>
  <c r="F14" i="101"/>
  <c r="E14" i="101"/>
  <c r="O13" i="101"/>
  <c r="L13" i="101"/>
  <c r="K13" i="101"/>
  <c r="J13" i="101" s="1"/>
  <c r="H13" i="101"/>
  <c r="F13" i="101"/>
  <c r="E13" i="101"/>
  <c r="O12" i="101"/>
  <c r="L12" i="101"/>
  <c r="K12" i="101"/>
  <c r="J12" i="101" s="1"/>
  <c r="H12" i="101"/>
  <c r="F12" i="101"/>
  <c r="E12" i="101"/>
  <c r="O11" i="101"/>
  <c r="L11" i="101"/>
  <c r="K11" i="101"/>
  <c r="J11" i="101"/>
  <c r="H11" i="101"/>
  <c r="F11" i="101"/>
  <c r="E11" i="101"/>
  <c r="K10" i="101"/>
  <c r="H10" i="101"/>
  <c r="F10" i="101"/>
  <c r="E10" i="101"/>
  <c r="O9" i="101"/>
  <c r="L9" i="101"/>
  <c r="K9" i="101"/>
  <c r="J9" i="101"/>
  <c r="H9" i="101"/>
  <c r="F9" i="101"/>
  <c r="E9" i="101"/>
  <c r="O8" i="101"/>
  <c r="L8" i="101"/>
  <c r="K8" i="101"/>
  <c r="J8" i="101" s="1"/>
  <c r="H8" i="101"/>
  <c r="F8" i="101"/>
  <c r="E8" i="101"/>
  <c r="O7" i="101"/>
  <c r="L7" i="101"/>
  <c r="K7" i="101"/>
  <c r="J7" i="101" s="1"/>
  <c r="H7" i="101"/>
  <c r="F7" i="101"/>
  <c r="E7" i="101"/>
  <c r="O6" i="101"/>
  <c r="L6" i="101"/>
  <c r="K6" i="101"/>
  <c r="K29" i="101" s="1"/>
  <c r="M6" i="101" s="1"/>
  <c r="H6" i="101"/>
  <c r="F6" i="101"/>
  <c r="E6" i="101"/>
  <c r="K28" i="100"/>
  <c r="I28" i="100"/>
  <c r="O27" i="100"/>
  <c r="L27" i="100"/>
  <c r="H27" i="100"/>
  <c r="K27" i="100" s="1"/>
  <c r="J27" i="100" s="1"/>
  <c r="F27" i="100"/>
  <c r="E27" i="100"/>
  <c r="O26" i="100"/>
  <c r="L26" i="100"/>
  <c r="K26" i="100"/>
  <c r="J26" i="100" s="1"/>
  <c r="H26" i="100"/>
  <c r="F26" i="100"/>
  <c r="E26" i="100"/>
  <c r="L25" i="100"/>
  <c r="H25" i="100"/>
  <c r="K25" i="100" s="1"/>
  <c r="F25" i="100"/>
  <c r="E25" i="100"/>
  <c r="O24" i="100"/>
  <c r="L24" i="100"/>
  <c r="K24" i="100"/>
  <c r="J24" i="100" s="1"/>
  <c r="H24" i="100"/>
  <c r="F24" i="100"/>
  <c r="E24" i="100"/>
  <c r="O23" i="100"/>
  <c r="L23" i="100"/>
  <c r="K23" i="100"/>
  <c r="J23" i="100"/>
  <c r="H23" i="100"/>
  <c r="F23" i="100"/>
  <c r="E23" i="100"/>
  <c r="O22" i="100"/>
  <c r="L22" i="100"/>
  <c r="H22" i="100"/>
  <c r="K22" i="100" s="1"/>
  <c r="J22" i="100" s="1"/>
  <c r="F22" i="100"/>
  <c r="E22" i="100"/>
  <c r="O21" i="100"/>
  <c r="L21" i="100"/>
  <c r="H21" i="100"/>
  <c r="K21" i="100" s="1"/>
  <c r="J21" i="100" s="1"/>
  <c r="F21" i="100"/>
  <c r="E21" i="100"/>
  <c r="O20" i="100"/>
  <c r="L20" i="100"/>
  <c r="K20" i="100"/>
  <c r="J20" i="100" s="1"/>
  <c r="H20" i="100"/>
  <c r="F20" i="100"/>
  <c r="E20" i="100"/>
  <c r="H19" i="100"/>
  <c r="K19" i="100" s="1"/>
  <c r="F19" i="100"/>
  <c r="E19" i="100"/>
  <c r="O18" i="100"/>
  <c r="H18" i="100"/>
  <c r="K18" i="100" s="1"/>
  <c r="J18" i="100" s="1"/>
  <c r="F18" i="100"/>
  <c r="E18" i="100"/>
  <c r="L17" i="100"/>
  <c r="K17" i="100"/>
  <c r="H17" i="100"/>
  <c r="F17" i="100"/>
  <c r="E17" i="100"/>
  <c r="O16" i="100"/>
  <c r="L16" i="100"/>
  <c r="H16" i="100"/>
  <c r="K16" i="100" s="1"/>
  <c r="J16" i="100" s="1"/>
  <c r="F16" i="100"/>
  <c r="E16" i="100"/>
  <c r="O15" i="100"/>
  <c r="L15" i="100"/>
  <c r="H15" i="100"/>
  <c r="K15" i="100" s="1"/>
  <c r="J15" i="100" s="1"/>
  <c r="F15" i="100"/>
  <c r="E15" i="100"/>
  <c r="O14" i="100"/>
  <c r="L14" i="100"/>
  <c r="K14" i="100"/>
  <c r="J14" i="100" s="1"/>
  <c r="H14" i="100"/>
  <c r="F14" i="100"/>
  <c r="E14" i="100"/>
  <c r="O13" i="100"/>
  <c r="L13" i="100"/>
  <c r="K13" i="100"/>
  <c r="J13" i="100"/>
  <c r="H13" i="100"/>
  <c r="F13" i="100"/>
  <c r="E13" i="100"/>
  <c r="O12" i="100"/>
  <c r="L12" i="100"/>
  <c r="H12" i="100"/>
  <c r="K12" i="100" s="1"/>
  <c r="J12" i="100" s="1"/>
  <c r="F12" i="100"/>
  <c r="E12" i="100"/>
  <c r="O11" i="100"/>
  <c r="L11" i="100"/>
  <c r="H11" i="100"/>
  <c r="K11" i="100" s="1"/>
  <c r="J11" i="100" s="1"/>
  <c r="F11" i="100"/>
  <c r="E11" i="100"/>
  <c r="O10" i="100"/>
  <c r="L10" i="100"/>
  <c r="K10" i="100"/>
  <c r="J10" i="100" s="1"/>
  <c r="H10" i="100"/>
  <c r="F10" i="100"/>
  <c r="E10" i="100"/>
  <c r="O9" i="100"/>
  <c r="L9" i="100"/>
  <c r="K9" i="100"/>
  <c r="J9" i="100"/>
  <c r="H9" i="100"/>
  <c r="F9" i="100"/>
  <c r="E9" i="100"/>
  <c r="O8" i="100"/>
  <c r="L8" i="100"/>
  <c r="H8" i="100"/>
  <c r="K8" i="100" s="1"/>
  <c r="J8" i="100" s="1"/>
  <c r="F8" i="100"/>
  <c r="E8" i="100"/>
  <c r="O7" i="100"/>
  <c r="L7" i="100"/>
  <c r="H7" i="100"/>
  <c r="K7" i="100" s="1"/>
  <c r="J7" i="100" s="1"/>
  <c r="F7" i="100"/>
  <c r="E7" i="100"/>
  <c r="O6" i="100"/>
  <c r="L6" i="100"/>
  <c r="H6" i="100"/>
  <c r="K6" i="100" s="1"/>
  <c r="F6" i="100"/>
  <c r="E6" i="100"/>
  <c r="K30" i="99"/>
  <c r="I30" i="99"/>
  <c r="O29" i="99"/>
  <c r="L29" i="99"/>
  <c r="H29" i="99"/>
  <c r="K29" i="99" s="1"/>
  <c r="J29" i="99" s="1"/>
  <c r="F29" i="99"/>
  <c r="E29" i="99"/>
  <c r="O28" i="99"/>
  <c r="L28" i="99"/>
  <c r="K28" i="99"/>
  <c r="J28" i="99" s="1"/>
  <c r="H28" i="99"/>
  <c r="F28" i="99"/>
  <c r="E28" i="99"/>
  <c r="H27" i="99"/>
  <c r="K27" i="99" s="1"/>
  <c r="F27" i="99"/>
  <c r="E27" i="99"/>
  <c r="O26" i="99"/>
  <c r="L26" i="99"/>
  <c r="K26" i="99"/>
  <c r="J26" i="99"/>
  <c r="H26" i="99"/>
  <c r="F26" i="99"/>
  <c r="E26" i="99"/>
  <c r="O25" i="99"/>
  <c r="L25" i="99"/>
  <c r="H25" i="99"/>
  <c r="K25" i="99" s="1"/>
  <c r="J25" i="99" s="1"/>
  <c r="F25" i="99"/>
  <c r="E25" i="99"/>
  <c r="O24" i="99"/>
  <c r="L24" i="99"/>
  <c r="H24" i="99"/>
  <c r="K24" i="99" s="1"/>
  <c r="J24" i="99" s="1"/>
  <c r="F24" i="99"/>
  <c r="E24" i="99"/>
  <c r="L23" i="99"/>
  <c r="H23" i="99"/>
  <c r="K23" i="99" s="1"/>
  <c r="F23" i="99"/>
  <c r="E23" i="99"/>
  <c r="O22" i="99"/>
  <c r="L22" i="99"/>
  <c r="H22" i="99"/>
  <c r="K22" i="99" s="1"/>
  <c r="J22" i="99" s="1"/>
  <c r="F22" i="99"/>
  <c r="E22" i="99"/>
  <c r="O21" i="99"/>
  <c r="L21" i="99"/>
  <c r="K21" i="99"/>
  <c r="J21" i="99" s="1"/>
  <c r="H21" i="99"/>
  <c r="F21" i="99"/>
  <c r="E21" i="99"/>
  <c r="L20" i="99"/>
  <c r="H20" i="99"/>
  <c r="K20" i="99" s="1"/>
  <c r="F20" i="99"/>
  <c r="E20" i="99"/>
  <c r="O19" i="99"/>
  <c r="L19" i="99"/>
  <c r="K19" i="99"/>
  <c r="J19" i="99" s="1"/>
  <c r="H19" i="99"/>
  <c r="F19" i="99"/>
  <c r="E19" i="99"/>
  <c r="L18" i="99"/>
  <c r="H18" i="99"/>
  <c r="K18" i="99" s="1"/>
  <c r="F18" i="99"/>
  <c r="E18" i="99"/>
  <c r="O17" i="99"/>
  <c r="L17" i="99"/>
  <c r="K17" i="99"/>
  <c r="J17" i="99" s="1"/>
  <c r="H17" i="99"/>
  <c r="F17" i="99"/>
  <c r="E17" i="99"/>
  <c r="O16" i="99"/>
  <c r="L16" i="99"/>
  <c r="K16" i="99"/>
  <c r="J16" i="99"/>
  <c r="H16" i="99"/>
  <c r="G16" i="99"/>
  <c r="F16" i="99"/>
  <c r="E16" i="99"/>
  <c r="O15" i="99"/>
  <c r="L15" i="99"/>
  <c r="K15" i="99"/>
  <c r="J15" i="99"/>
  <c r="H15" i="99"/>
  <c r="F15" i="99"/>
  <c r="E15" i="99"/>
  <c r="O14" i="99"/>
  <c r="L14" i="99"/>
  <c r="H14" i="99"/>
  <c r="K14" i="99" s="1"/>
  <c r="J14" i="99" s="1"/>
  <c r="F14" i="99"/>
  <c r="E14" i="99"/>
  <c r="O13" i="99"/>
  <c r="L13" i="99"/>
  <c r="H13" i="99"/>
  <c r="K13" i="99" s="1"/>
  <c r="J13" i="99" s="1"/>
  <c r="F13" i="99"/>
  <c r="E13" i="99"/>
  <c r="O12" i="99"/>
  <c r="L12" i="99"/>
  <c r="K12" i="99"/>
  <c r="J12" i="99" s="1"/>
  <c r="H12" i="99"/>
  <c r="F12" i="99"/>
  <c r="E12" i="99"/>
  <c r="O11" i="99"/>
  <c r="L11" i="99"/>
  <c r="K11" i="99"/>
  <c r="J11" i="99"/>
  <c r="H11" i="99"/>
  <c r="F11" i="99"/>
  <c r="E11" i="99"/>
  <c r="O10" i="99"/>
  <c r="L10" i="99"/>
  <c r="H10" i="99"/>
  <c r="K10" i="99" s="1"/>
  <c r="J10" i="99" s="1"/>
  <c r="F10" i="99"/>
  <c r="E10" i="99"/>
  <c r="O9" i="99"/>
  <c r="L9" i="99"/>
  <c r="H9" i="99"/>
  <c r="K9" i="99" s="1"/>
  <c r="J9" i="99" s="1"/>
  <c r="F9" i="99"/>
  <c r="E9" i="99"/>
  <c r="L8" i="99"/>
  <c r="H8" i="99"/>
  <c r="K8" i="99" s="1"/>
  <c r="F8" i="99"/>
  <c r="E8" i="99"/>
  <c r="O7" i="99"/>
  <c r="L7" i="99"/>
  <c r="H7" i="99"/>
  <c r="K7" i="99" s="1"/>
  <c r="J7" i="99" s="1"/>
  <c r="F7" i="99"/>
  <c r="E7" i="99"/>
  <c r="O6" i="99"/>
  <c r="L6" i="99"/>
  <c r="H6" i="99"/>
  <c r="K6" i="99" s="1"/>
  <c r="F6" i="99"/>
  <c r="E6" i="99"/>
  <c r="K27" i="98"/>
  <c r="I27" i="98"/>
  <c r="O26" i="98"/>
  <c r="L26" i="98"/>
  <c r="H26" i="98"/>
  <c r="K26" i="98" s="1"/>
  <c r="J26" i="98" s="1"/>
  <c r="F26" i="98"/>
  <c r="E26" i="98"/>
  <c r="O25" i="98"/>
  <c r="L25" i="98"/>
  <c r="K25" i="98"/>
  <c r="J25" i="98" s="1"/>
  <c r="H25" i="98"/>
  <c r="F25" i="98"/>
  <c r="E25" i="98"/>
  <c r="O24" i="98"/>
  <c r="L24" i="98"/>
  <c r="K24" i="98"/>
  <c r="J24" i="98"/>
  <c r="H24" i="98"/>
  <c r="F24" i="98"/>
  <c r="E24" i="98"/>
  <c r="O23" i="98"/>
  <c r="L23" i="98"/>
  <c r="H23" i="98"/>
  <c r="K23" i="98" s="1"/>
  <c r="J23" i="98" s="1"/>
  <c r="F23" i="98"/>
  <c r="E23" i="98"/>
  <c r="O22" i="98"/>
  <c r="L22" i="98"/>
  <c r="K22" i="98"/>
  <c r="J22" i="98" s="1"/>
  <c r="H22" i="98"/>
  <c r="F22" i="98"/>
  <c r="E22" i="98"/>
  <c r="O21" i="98"/>
  <c r="L21" i="98"/>
  <c r="K21" i="98"/>
  <c r="J21" i="98"/>
  <c r="H21" i="98"/>
  <c r="F21" i="98"/>
  <c r="E21" i="98"/>
  <c r="O20" i="98"/>
  <c r="L20" i="98"/>
  <c r="H20" i="98"/>
  <c r="K20" i="98" s="1"/>
  <c r="J20" i="98" s="1"/>
  <c r="F20" i="98"/>
  <c r="E20" i="98"/>
  <c r="L19" i="98"/>
  <c r="K19" i="98"/>
  <c r="H19" i="98"/>
  <c r="F19" i="98"/>
  <c r="E19" i="98"/>
  <c r="O18" i="98"/>
  <c r="L18" i="98"/>
  <c r="H18" i="98"/>
  <c r="K18" i="98" s="1"/>
  <c r="J18" i="98" s="1"/>
  <c r="F18" i="98"/>
  <c r="E18" i="98"/>
  <c r="L17" i="98"/>
  <c r="K17" i="98"/>
  <c r="H17" i="98"/>
  <c r="F17" i="98"/>
  <c r="E17" i="98"/>
  <c r="O16" i="98"/>
  <c r="L16" i="98"/>
  <c r="H16" i="98"/>
  <c r="K16" i="98" s="1"/>
  <c r="J16" i="98" s="1"/>
  <c r="F16" i="98"/>
  <c r="E16" i="98"/>
  <c r="O15" i="98"/>
  <c r="L15" i="98"/>
  <c r="H15" i="98"/>
  <c r="K15" i="98" s="1"/>
  <c r="J15" i="98" s="1"/>
  <c r="F15" i="98"/>
  <c r="E15" i="98"/>
  <c r="O14" i="98"/>
  <c r="L14" i="98"/>
  <c r="K14" i="98"/>
  <c r="J14" i="98" s="1"/>
  <c r="H14" i="98"/>
  <c r="F14" i="98"/>
  <c r="E14" i="98"/>
  <c r="O13" i="98"/>
  <c r="L13" i="98"/>
  <c r="K13" i="98"/>
  <c r="J13" i="98"/>
  <c r="H13" i="98"/>
  <c r="F13" i="98"/>
  <c r="E13" i="98"/>
  <c r="O12" i="98"/>
  <c r="L12" i="98"/>
  <c r="H12" i="98"/>
  <c r="K12" i="98" s="1"/>
  <c r="J12" i="98" s="1"/>
  <c r="F12" i="98"/>
  <c r="E12" i="98"/>
  <c r="O11" i="98"/>
  <c r="L11" i="98"/>
  <c r="H11" i="98"/>
  <c r="K11" i="98" s="1"/>
  <c r="J11" i="98" s="1"/>
  <c r="F11" i="98"/>
  <c r="E11" i="98"/>
  <c r="O10" i="98"/>
  <c r="L10" i="98"/>
  <c r="K10" i="98"/>
  <c r="J10" i="98" s="1"/>
  <c r="H10" i="98"/>
  <c r="F10" i="98"/>
  <c r="E10" i="98"/>
  <c r="O9" i="98"/>
  <c r="L9" i="98"/>
  <c r="K9" i="98"/>
  <c r="J9" i="98"/>
  <c r="H9" i="98"/>
  <c r="F9" i="98"/>
  <c r="E9" i="98"/>
  <c r="O8" i="98"/>
  <c r="L8" i="98"/>
  <c r="H8" i="98"/>
  <c r="K8" i="98" s="1"/>
  <c r="J8" i="98" s="1"/>
  <c r="F8" i="98"/>
  <c r="E8" i="98"/>
  <c r="O7" i="98"/>
  <c r="L7" i="98"/>
  <c r="H7" i="98"/>
  <c r="K7" i="98" s="1"/>
  <c r="J7" i="98" s="1"/>
  <c r="F7" i="98"/>
  <c r="E7" i="98"/>
  <c r="O6" i="98"/>
  <c r="L6" i="98"/>
  <c r="H6" i="98"/>
  <c r="K6" i="98" s="1"/>
  <c r="F6" i="98"/>
  <c r="E6" i="98"/>
  <c r="K27" i="97"/>
  <c r="I27" i="97"/>
  <c r="O26" i="97"/>
  <c r="L26" i="97"/>
  <c r="H26" i="97"/>
  <c r="K26" i="97" s="1"/>
  <c r="J26" i="97" s="1"/>
  <c r="F26" i="97"/>
  <c r="E26" i="97"/>
  <c r="O25" i="97"/>
  <c r="L25" i="97"/>
  <c r="K25" i="97"/>
  <c r="J25" i="97" s="1"/>
  <c r="H25" i="97"/>
  <c r="F25" i="97"/>
  <c r="E25" i="97"/>
  <c r="O24" i="97"/>
  <c r="L24" i="97"/>
  <c r="K24" i="97"/>
  <c r="J24" i="97"/>
  <c r="H24" i="97"/>
  <c r="F24" i="97"/>
  <c r="E24" i="97"/>
  <c r="O23" i="97"/>
  <c r="L23" i="97"/>
  <c r="H23" i="97"/>
  <c r="K23" i="97" s="1"/>
  <c r="J23" i="97" s="1"/>
  <c r="F23" i="97"/>
  <c r="E23" i="97"/>
  <c r="O22" i="97"/>
  <c r="L22" i="97"/>
  <c r="H22" i="97"/>
  <c r="K22" i="97" s="1"/>
  <c r="J22" i="97" s="1"/>
  <c r="F22" i="97"/>
  <c r="E22" i="97"/>
  <c r="O21" i="97"/>
  <c r="L21" i="97"/>
  <c r="K21" i="97"/>
  <c r="J21" i="97" s="1"/>
  <c r="H21" i="97"/>
  <c r="F21" i="97"/>
  <c r="E21" i="97"/>
  <c r="O20" i="97"/>
  <c r="L20" i="97"/>
  <c r="K20" i="97"/>
  <c r="J20" i="97"/>
  <c r="H20" i="97"/>
  <c r="F20" i="97"/>
  <c r="E20" i="97"/>
  <c r="L19" i="97"/>
  <c r="H19" i="97"/>
  <c r="K19" i="97" s="1"/>
  <c r="F19" i="97"/>
  <c r="E19" i="97"/>
  <c r="O18" i="97"/>
  <c r="L18" i="97"/>
  <c r="K18" i="97"/>
  <c r="J18" i="97"/>
  <c r="H18" i="97"/>
  <c r="F18" i="97"/>
  <c r="E18" i="97"/>
  <c r="L17" i="97"/>
  <c r="H17" i="97"/>
  <c r="K17" i="97" s="1"/>
  <c r="J16" i="97" s="1"/>
  <c r="F17" i="97"/>
  <c r="E17" i="97"/>
  <c r="O16" i="97"/>
  <c r="L16" i="97"/>
  <c r="K16" i="97"/>
  <c r="H16" i="97"/>
  <c r="F16" i="97"/>
  <c r="E16" i="97"/>
  <c r="O15" i="97"/>
  <c r="L15" i="97"/>
  <c r="H15" i="97"/>
  <c r="K15" i="97" s="1"/>
  <c r="J15" i="97" s="1"/>
  <c r="F15" i="97"/>
  <c r="E15" i="97"/>
  <c r="O14" i="97"/>
  <c r="L14" i="97"/>
  <c r="H14" i="97"/>
  <c r="K14" i="97" s="1"/>
  <c r="J14" i="97" s="1"/>
  <c r="F14" i="97"/>
  <c r="E14" i="97"/>
  <c r="O13" i="97"/>
  <c r="L13" i="97"/>
  <c r="K13" i="97"/>
  <c r="J13" i="97" s="1"/>
  <c r="H13" i="97"/>
  <c r="F13" i="97"/>
  <c r="E13" i="97"/>
  <c r="O12" i="97"/>
  <c r="L12" i="97"/>
  <c r="K12" i="97"/>
  <c r="J12" i="97"/>
  <c r="H12" i="97"/>
  <c r="F12" i="97"/>
  <c r="E12" i="97"/>
  <c r="O11" i="97"/>
  <c r="L11" i="97"/>
  <c r="H11" i="97"/>
  <c r="K11" i="97" s="1"/>
  <c r="J11" i="97" s="1"/>
  <c r="F11" i="97"/>
  <c r="E11" i="97"/>
  <c r="O10" i="97"/>
  <c r="L10" i="97"/>
  <c r="H10" i="97"/>
  <c r="K10" i="97" s="1"/>
  <c r="J10" i="97" s="1"/>
  <c r="F10" i="97"/>
  <c r="E10" i="97"/>
  <c r="O9" i="97"/>
  <c r="L9" i="97"/>
  <c r="K9" i="97"/>
  <c r="J9" i="97" s="1"/>
  <c r="H9" i="97"/>
  <c r="F9" i="97"/>
  <c r="E9" i="97"/>
  <c r="O8" i="97"/>
  <c r="L8" i="97"/>
  <c r="K8" i="97"/>
  <c r="J8" i="97"/>
  <c r="H8" i="97"/>
  <c r="F8" i="97"/>
  <c r="E8" i="97"/>
  <c r="O7" i="97"/>
  <c r="L7" i="97"/>
  <c r="H7" i="97"/>
  <c r="K7" i="97" s="1"/>
  <c r="J7" i="97" s="1"/>
  <c r="F7" i="97"/>
  <c r="E7" i="97"/>
  <c r="O6" i="97"/>
  <c r="L6" i="97"/>
  <c r="H6" i="97"/>
  <c r="K6" i="97" s="1"/>
  <c r="F6" i="97"/>
  <c r="E6" i="97"/>
  <c r="K27" i="96"/>
  <c r="I27" i="96"/>
  <c r="O26" i="96"/>
  <c r="L26" i="96"/>
  <c r="H26" i="96"/>
  <c r="K26" i="96" s="1"/>
  <c r="J26" i="96" s="1"/>
  <c r="F26" i="96"/>
  <c r="E26" i="96"/>
  <c r="O25" i="96"/>
  <c r="L25" i="96"/>
  <c r="K25" i="96"/>
  <c r="J25" i="96" s="1"/>
  <c r="H25" i="96"/>
  <c r="F25" i="96"/>
  <c r="E25" i="96"/>
  <c r="O24" i="96"/>
  <c r="L24" i="96"/>
  <c r="K24" i="96"/>
  <c r="J24" i="96"/>
  <c r="H24" i="96"/>
  <c r="F24" i="96"/>
  <c r="E24" i="96"/>
  <c r="O23" i="96"/>
  <c r="L23" i="96"/>
  <c r="H23" i="96"/>
  <c r="K23" i="96" s="1"/>
  <c r="J23" i="96" s="1"/>
  <c r="F23" i="96"/>
  <c r="E23" i="96"/>
  <c r="O22" i="96"/>
  <c r="L22" i="96"/>
  <c r="H22" i="96"/>
  <c r="K22" i="96" s="1"/>
  <c r="J22" i="96" s="1"/>
  <c r="F22" i="96"/>
  <c r="E22" i="96"/>
  <c r="O21" i="96"/>
  <c r="L21" i="96"/>
  <c r="K21" i="96"/>
  <c r="J21" i="96" s="1"/>
  <c r="H21" i="96"/>
  <c r="F21" i="96"/>
  <c r="E21" i="96"/>
  <c r="O20" i="96"/>
  <c r="L20" i="96"/>
  <c r="K20" i="96"/>
  <c r="J20" i="96"/>
  <c r="H20" i="96"/>
  <c r="F20" i="96"/>
  <c r="E20" i="96"/>
  <c r="L19" i="96"/>
  <c r="H19" i="96"/>
  <c r="K19" i="96" s="1"/>
  <c r="F19" i="96"/>
  <c r="E19" i="96"/>
  <c r="O18" i="96"/>
  <c r="L18" i="96"/>
  <c r="K18" i="96"/>
  <c r="J18" i="96"/>
  <c r="H18" i="96"/>
  <c r="F18" i="96"/>
  <c r="E18" i="96"/>
  <c r="L17" i="96"/>
  <c r="H17" i="96"/>
  <c r="K17" i="96" s="1"/>
  <c r="J16" i="96" s="1"/>
  <c r="F17" i="96"/>
  <c r="E17" i="96"/>
  <c r="O16" i="96"/>
  <c r="L16" i="96"/>
  <c r="K16" i="96"/>
  <c r="H16" i="96"/>
  <c r="F16" i="96"/>
  <c r="E16" i="96"/>
  <c r="O15" i="96"/>
  <c r="L15" i="96"/>
  <c r="H15" i="96"/>
  <c r="K15" i="96" s="1"/>
  <c r="J15" i="96" s="1"/>
  <c r="F15" i="96"/>
  <c r="E15" i="96"/>
  <c r="O14" i="96"/>
  <c r="L14" i="96"/>
  <c r="H14" i="96"/>
  <c r="K14" i="96" s="1"/>
  <c r="J14" i="96" s="1"/>
  <c r="F14" i="96"/>
  <c r="E14" i="96"/>
  <c r="O13" i="96"/>
  <c r="L13" i="96"/>
  <c r="K13" i="96"/>
  <c r="J13" i="96" s="1"/>
  <c r="H13" i="96"/>
  <c r="F13" i="96"/>
  <c r="E13" i="96"/>
  <c r="O12" i="96"/>
  <c r="L12" i="96"/>
  <c r="K12" i="96"/>
  <c r="J12" i="96"/>
  <c r="H12" i="96"/>
  <c r="F12" i="96"/>
  <c r="E12" i="96"/>
  <c r="O11" i="96"/>
  <c r="L11" i="96"/>
  <c r="H11" i="96"/>
  <c r="K11" i="96" s="1"/>
  <c r="J11" i="96" s="1"/>
  <c r="F11" i="96"/>
  <c r="E11" i="96"/>
  <c r="O10" i="96"/>
  <c r="L10" i="96"/>
  <c r="H10" i="96"/>
  <c r="K10" i="96" s="1"/>
  <c r="J10" i="96" s="1"/>
  <c r="F10" i="96"/>
  <c r="E10" i="96"/>
  <c r="O9" i="96"/>
  <c r="L9" i="96"/>
  <c r="K9" i="96"/>
  <c r="J9" i="96" s="1"/>
  <c r="H9" i="96"/>
  <c r="F9" i="96"/>
  <c r="E9" i="96"/>
  <c r="O8" i="96"/>
  <c r="L8" i="96"/>
  <c r="K8" i="96"/>
  <c r="J8" i="96"/>
  <c r="H8" i="96"/>
  <c r="F8" i="96"/>
  <c r="E8" i="96"/>
  <c r="O7" i="96"/>
  <c r="L7" i="96"/>
  <c r="H7" i="96"/>
  <c r="K7" i="96" s="1"/>
  <c r="J7" i="96" s="1"/>
  <c r="F7" i="96"/>
  <c r="E7" i="96"/>
  <c r="O6" i="96"/>
  <c r="L6" i="96"/>
  <c r="H6" i="96"/>
  <c r="K6" i="96" s="1"/>
  <c r="F6" i="96"/>
  <c r="E6" i="96"/>
  <c r="K27" i="95"/>
  <c r="I27" i="95"/>
  <c r="O26" i="95"/>
  <c r="L26" i="95"/>
  <c r="H26" i="95"/>
  <c r="K26" i="95" s="1"/>
  <c r="J26" i="95" s="1"/>
  <c r="F26" i="95"/>
  <c r="E26" i="95"/>
  <c r="O25" i="95"/>
  <c r="L25" i="95"/>
  <c r="K25" i="95"/>
  <c r="J25" i="95" s="1"/>
  <c r="H25" i="95"/>
  <c r="F25" i="95"/>
  <c r="E25" i="95"/>
  <c r="O24" i="95"/>
  <c r="L24" i="95"/>
  <c r="K24" i="95"/>
  <c r="J24" i="95"/>
  <c r="H24" i="95"/>
  <c r="F24" i="95"/>
  <c r="E24" i="95"/>
  <c r="O23" i="95"/>
  <c r="L23" i="95"/>
  <c r="H23" i="95"/>
  <c r="K23" i="95" s="1"/>
  <c r="J23" i="95" s="1"/>
  <c r="F23" i="95"/>
  <c r="E23" i="95"/>
  <c r="O22" i="95"/>
  <c r="L22" i="95"/>
  <c r="H22" i="95"/>
  <c r="K22" i="95" s="1"/>
  <c r="J22" i="95" s="1"/>
  <c r="F22" i="95"/>
  <c r="E22" i="95"/>
  <c r="O21" i="95"/>
  <c r="L21" i="95"/>
  <c r="K21" i="95"/>
  <c r="J21" i="95" s="1"/>
  <c r="H21" i="95"/>
  <c r="F21" i="95"/>
  <c r="E21" i="95"/>
  <c r="O20" i="95"/>
  <c r="L20" i="95"/>
  <c r="K20" i="95"/>
  <c r="J20" i="95"/>
  <c r="H20" i="95"/>
  <c r="F20" i="95"/>
  <c r="E20" i="95"/>
  <c r="O19" i="95"/>
  <c r="L19" i="95"/>
  <c r="H19" i="95"/>
  <c r="K19" i="95" s="1"/>
  <c r="J19" i="95" s="1"/>
  <c r="G19" i="95"/>
  <c r="F19" i="95"/>
  <c r="E19" i="95"/>
  <c r="L18" i="95"/>
  <c r="H18" i="95"/>
  <c r="K18" i="95" s="1"/>
  <c r="J17" i="95" s="1"/>
  <c r="F18" i="95"/>
  <c r="E18" i="95"/>
  <c r="O17" i="95"/>
  <c r="L17" i="95"/>
  <c r="K17" i="95"/>
  <c r="H17" i="95"/>
  <c r="F17" i="95"/>
  <c r="E17" i="95"/>
  <c r="O16" i="95"/>
  <c r="L16" i="95"/>
  <c r="H16" i="95"/>
  <c r="K16" i="95" s="1"/>
  <c r="J16" i="95" s="1"/>
  <c r="F16" i="95"/>
  <c r="E16" i="95"/>
  <c r="O15" i="95"/>
  <c r="L15" i="95"/>
  <c r="H15" i="95"/>
  <c r="K15" i="95" s="1"/>
  <c r="J15" i="95" s="1"/>
  <c r="F15" i="95"/>
  <c r="E15" i="95"/>
  <c r="O14" i="95"/>
  <c r="L14" i="95"/>
  <c r="K14" i="95"/>
  <c r="J14" i="95" s="1"/>
  <c r="H14" i="95"/>
  <c r="F14" i="95"/>
  <c r="E14" i="95"/>
  <c r="O13" i="95"/>
  <c r="L13" i="95"/>
  <c r="K13" i="95"/>
  <c r="J13" i="95"/>
  <c r="H13" i="95"/>
  <c r="F13" i="95"/>
  <c r="E13" i="95"/>
  <c r="O12" i="95"/>
  <c r="L12" i="95"/>
  <c r="H12" i="95"/>
  <c r="K12" i="95" s="1"/>
  <c r="J12" i="95" s="1"/>
  <c r="F12" i="95"/>
  <c r="E12" i="95"/>
  <c r="L11" i="95"/>
  <c r="K11" i="95"/>
  <c r="H11" i="95"/>
  <c r="F11" i="95"/>
  <c r="E11" i="95"/>
  <c r="O10" i="95"/>
  <c r="L10" i="95"/>
  <c r="H10" i="95"/>
  <c r="K10" i="95" s="1"/>
  <c r="J10" i="95" s="1"/>
  <c r="F10" i="95"/>
  <c r="E10" i="95"/>
  <c r="O9" i="95"/>
  <c r="L9" i="95"/>
  <c r="H9" i="95"/>
  <c r="K9" i="95" s="1"/>
  <c r="J9" i="95" s="1"/>
  <c r="F9" i="95"/>
  <c r="E9" i="95"/>
  <c r="O8" i="95"/>
  <c r="L8" i="95"/>
  <c r="K8" i="95"/>
  <c r="J8" i="95" s="1"/>
  <c r="H8" i="95"/>
  <c r="F8" i="95"/>
  <c r="E8" i="95"/>
  <c r="O7" i="95"/>
  <c r="L7" i="95"/>
  <c r="K7" i="95"/>
  <c r="J7" i="95"/>
  <c r="H7" i="95"/>
  <c r="F7" i="95"/>
  <c r="E7" i="95"/>
  <c r="O6" i="95"/>
  <c r="L6" i="95"/>
  <c r="K6" i="95"/>
  <c r="J6" i="95"/>
  <c r="H6" i="95"/>
  <c r="F6" i="95"/>
  <c r="E6" i="95"/>
  <c r="K28" i="94"/>
  <c r="I28" i="94"/>
  <c r="O27" i="94"/>
  <c r="L27" i="94"/>
  <c r="H27" i="94"/>
  <c r="K27" i="94" s="1"/>
  <c r="J27" i="94" s="1"/>
  <c r="F27" i="94"/>
  <c r="E27" i="94"/>
  <c r="O26" i="94"/>
  <c r="L26" i="94"/>
  <c r="K26" i="94"/>
  <c r="J26" i="94" s="1"/>
  <c r="H26" i="94"/>
  <c r="F26" i="94"/>
  <c r="E26" i="94"/>
  <c r="O25" i="94"/>
  <c r="H25" i="94"/>
  <c r="K25" i="94" s="1"/>
  <c r="J25" i="94" s="1"/>
  <c r="F25" i="94"/>
  <c r="E25" i="94"/>
  <c r="O24" i="94"/>
  <c r="L24" i="94"/>
  <c r="K24" i="94"/>
  <c r="J24" i="94" s="1"/>
  <c r="H24" i="94"/>
  <c r="F24" i="94"/>
  <c r="E24" i="94"/>
  <c r="O23" i="94"/>
  <c r="L23" i="94"/>
  <c r="K23" i="94"/>
  <c r="J23" i="94" s="1"/>
  <c r="H23" i="94"/>
  <c r="F23" i="94"/>
  <c r="E23" i="94"/>
  <c r="O22" i="94"/>
  <c r="L22" i="94"/>
  <c r="H22" i="94"/>
  <c r="K22" i="94" s="1"/>
  <c r="J22" i="94" s="1"/>
  <c r="F22" i="94"/>
  <c r="E22" i="94"/>
  <c r="O21" i="94"/>
  <c r="L21" i="94"/>
  <c r="H21" i="94"/>
  <c r="K21" i="94" s="1"/>
  <c r="J21" i="94" s="1"/>
  <c r="F21" i="94"/>
  <c r="E21" i="94"/>
  <c r="O20" i="94"/>
  <c r="L20" i="94"/>
  <c r="K20" i="94"/>
  <c r="J20" i="94" s="1"/>
  <c r="H20" i="94"/>
  <c r="F20" i="94"/>
  <c r="E20" i="94"/>
  <c r="L19" i="94"/>
  <c r="H19" i="94"/>
  <c r="K19" i="94" s="1"/>
  <c r="F19" i="94"/>
  <c r="E19" i="94"/>
  <c r="H18" i="94"/>
  <c r="K18" i="94" s="1"/>
  <c r="F18" i="94"/>
  <c r="E18" i="94"/>
  <c r="O17" i="94"/>
  <c r="K17" i="94"/>
  <c r="H17" i="94"/>
  <c r="F17" i="94"/>
  <c r="E17" i="94"/>
  <c r="O16" i="94"/>
  <c r="L16" i="94"/>
  <c r="H16" i="94"/>
  <c r="K16" i="94" s="1"/>
  <c r="J16" i="94" s="1"/>
  <c r="F16" i="94"/>
  <c r="E16" i="94"/>
  <c r="O15" i="94"/>
  <c r="L15" i="94"/>
  <c r="H15" i="94"/>
  <c r="K15" i="94" s="1"/>
  <c r="J15" i="94" s="1"/>
  <c r="F15" i="94"/>
  <c r="E15" i="94"/>
  <c r="O14" i="94"/>
  <c r="L14" i="94"/>
  <c r="K14" i="94"/>
  <c r="J14" i="94" s="1"/>
  <c r="H14" i="94"/>
  <c r="F14" i="94"/>
  <c r="E14" i="94"/>
  <c r="O13" i="94"/>
  <c r="L13" i="94"/>
  <c r="K13" i="94"/>
  <c r="J13" i="94" s="1"/>
  <c r="H13" i="94"/>
  <c r="F13" i="94"/>
  <c r="E13" i="94"/>
  <c r="L12" i="94"/>
  <c r="K12" i="94"/>
  <c r="H12" i="94"/>
  <c r="F12" i="94"/>
  <c r="E12" i="94"/>
  <c r="O11" i="94"/>
  <c r="L11" i="94"/>
  <c r="K11" i="94"/>
  <c r="J11" i="94" s="1"/>
  <c r="H11" i="94"/>
  <c r="F11" i="94"/>
  <c r="E11" i="94"/>
  <c r="O10" i="94"/>
  <c r="L10" i="94"/>
  <c r="H10" i="94"/>
  <c r="K10" i="94" s="1"/>
  <c r="J10" i="94" s="1"/>
  <c r="F10" i="94"/>
  <c r="E10" i="94"/>
  <c r="O9" i="94"/>
  <c r="L9" i="94"/>
  <c r="H9" i="94"/>
  <c r="K9" i="94" s="1"/>
  <c r="J9" i="94" s="1"/>
  <c r="F9" i="94"/>
  <c r="E9" i="94"/>
  <c r="O8" i="94"/>
  <c r="L8" i="94"/>
  <c r="K8" i="94"/>
  <c r="J8" i="94" s="1"/>
  <c r="H8" i="94"/>
  <c r="F8" i="94"/>
  <c r="E8" i="94"/>
  <c r="O7" i="94"/>
  <c r="L7" i="94"/>
  <c r="K7" i="94"/>
  <c r="J7" i="94" s="1"/>
  <c r="H7" i="94"/>
  <c r="F7" i="94"/>
  <c r="E7" i="94"/>
  <c r="O6" i="94"/>
  <c r="L6" i="94"/>
  <c r="K6" i="94"/>
  <c r="H6" i="94"/>
  <c r="F6" i="94"/>
  <c r="E6" i="94"/>
  <c r="K30" i="93"/>
  <c r="I30" i="93"/>
  <c r="O29" i="93"/>
  <c r="L29" i="93"/>
  <c r="H29" i="93"/>
  <c r="K29" i="93" s="1"/>
  <c r="J29" i="93" s="1"/>
  <c r="F29" i="93"/>
  <c r="E29" i="93"/>
  <c r="O28" i="93"/>
  <c r="L28" i="93"/>
  <c r="K28" i="93"/>
  <c r="J28" i="93" s="1"/>
  <c r="H28" i="93"/>
  <c r="F28" i="93"/>
  <c r="E28" i="93"/>
  <c r="H27" i="93"/>
  <c r="K27" i="93" s="1"/>
  <c r="F27" i="93"/>
  <c r="E27" i="93"/>
  <c r="O26" i="93"/>
  <c r="L26" i="93"/>
  <c r="K26" i="93"/>
  <c r="J26" i="93"/>
  <c r="H26" i="93"/>
  <c r="F26" i="93"/>
  <c r="E26" i="93"/>
  <c r="O25" i="93"/>
  <c r="L25" i="93"/>
  <c r="H25" i="93"/>
  <c r="K25" i="93" s="1"/>
  <c r="J25" i="93" s="1"/>
  <c r="F25" i="93"/>
  <c r="E25" i="93"/>
  <c r="O24" i="93"/>
  <c r="L24" i="93"/>
  <c r="H24" i="93"/>
  <c r="K24" i="93" s="1"/>
  <c r="J24" i="93" s="1"/>
  <c r="F24" i="93"/>
  <c r="E24" i="93"/>
  <c r="O23" i="93"/>
  <c r="L23" i="93"/>
  <c r="K23" i="93"/>
  <c r="J23" i="93" s="1"/>
  <c r="H23" i="93"/>
  <c r="F23" i="93"/>
  <c r="E23" i="93"/>
  <c r="O22" i="93"/>
  <c r="L22" i="93"/>
  <c r="K22" i="93"/>
  <c r="J22" i="93"/>
  <c r="H22" i="93"/>
  <c r="F22" i="93"/>
  <c r="E22" i="93"/>
  <c r="O21" i="93"/>
  <c r="L21" i="93"/>
  <c r="H21" i="93"/>
  <c r="K21" i="93" s="1"/>
  <c r="J21" i="93" s="1"/>
  <c r="F21" i="93"/>
  <c r="E21" i="93"/>
  <c r="L20" i="93"/>
  <c r="K20" i="93"/>
  <c r="H20" i="93"/>
  <c r="F20" i="93"/>
  <c r="E20" i="93"/>
  <c r="O19" i="93"/>
  <c r="H19" i="93"/>
  <c r="K19" i="93" s="1"/>
  <c r="J19" i="93" s="1"/>
  <c r="F19" i="93"/>
  <c r="E19" i="93"/>
  <c r="O18" i="93"/>
  <c r="L18" i="93"/>
  <c r="K18" i="93"/>
  <c r="J18" i="93" s="1"/>
  <c r="H18" i="93"/>
  <c r="F18" i="93"/>
  <c r="E18" i="93"/>
  <c r="O17" i="93"/>
  <c r="L17" i="93"/>
  <c r="K17" i="93"/>
  <c r="J17" i="93"/>
  <c r="H17" i="93"/>
  <c r="F17" i="93"/>
  <c r="E17" i="93"/>
  <c r="O16" i="93"/>
  <c r="L16" i="93"/>
  <c r="H16" i="93"/>
  <c r="K16" i="93" s="1"/>
  <c r="J16" i="93" s="1"/>
  <c r="F16" i="93"/>
  <c r="E16" i="93"/>
  <c r="O15" i="93"/>
  <c r="L15" i="93"/>
  <c r="H15" i="93"/>
  <c r="K15" i="93" s="1"/>
  <c r="J15" i="93" s="1"/>
  <c r="F15" i="93"/>
  <c r="E15" i="93"/>
  <c r="L14" i="93"/>
  <c r="H14" i="93"/>
  <c r="K14" i="93" s="1"/>
  <c r="F14" i="93"/>
  <c r="E14" i="93"/>
  <c r="O13" i="93"/>
  <c r="L13" i="93"/>
  <c r="H13" i="93"/>
  <c r="K13" i="93" s="1"/>
  <c r="J13" i="93" s="1"/>
  <c r="F13" i="93"/>
  <c r="E13" i="93"/>
  <c r="O12" i="93"/>
  <c r="L12" i="93"/>
  <c r="K12" i="93"/>
  <c r="J12" i="93" s="1"/>
  <c r="H12" i="93"/>
  <c r="F12" i="93"/>
  <c r="E12" i="93"/>
  <c r="O11" i="93"/>
  <c r="L11" i="93"/>
  <c r="K11" i="93"/>
  <c r="J11" i="93"/>
  <c r="H11" i="93"/>
  <c r="F11" i="93"/>
  <c r="E11" i="93"/>
  <c r="O10" i="93"/>
  <c r="L10" i="93"/>
  <c r="H10" i="93"/>
  <c r="K10" i="93" s="1"/>
  <c r="J10" i="93" s="1"/>
  <c r="F10" i="93"/>
  <c r="E10" i="93"/>
  <c r="K9" i="93"/>
  <c r="K8" i="93"/>
  <c r="H8" i="93"/>
  <c r="F8" i="93"/>
  <c r="E8" i="93"/>
  <c r="O7" i="93"/>
  <c r="L7" i="93"/>
  <c r="H7" i="93"/>
  <c r="K7" i="93" s="1"/>
  <c r="J7" i="93" s="1"/>
  <c r="F7" i="93"/>
  <c r="E7" i="93"/>
  <c r="O6" i="93"/>
  <c r="L6" i="93"/>
  <c r="H6" i="93"/>
  <c r="K6" i="93" s="1"/>
  <c r="F6" i="93"/>
  <c r="E6" i="93"/>
  <c r="K31" i="92"/>
  <c r="I31" i="92"/>
  <c r="L30" i="92"/>
  <c r="K30" i="92"/>
  <c r="J29" i="92" s="1"/>
  <c r="H30" i="92"/>
  <c r="F30" i="92"/>
  <c r="E30" i="92"/>
  <c r="O29" i="92"/>
  <c r="L29" i="92"/>
  <c r="H29" i="92"/>
  <c r="K29" i="92" s="1"/>
  <c r="F29" i="92"/>
  <c r="E29" i="92"/>
  <c r="O28" i="92"/>
  <c r="L28" i="92"/>
  <c r="H28" i="92"/>
  <c r="K28" i="92" s="1"/>
  <c r="J28" i="92" s="1"/>
  <c r="F28" i="92"/>
  <c r="E28" i="92"/>
  <c r="O27" i="92"/>
  <c r="L27" i="92"/>
  <c r="K27" i="92"/>
  <c r="J27" i="92" s="1"/>
  <c r="H27" i="92"/>
  <c r="F27" i="92"/>
  <c r="E27" i="92"/>
  <c r="O26" i="92"/>
  <c r="L26" i="92"/>
  <c r="K26" i="92"/>
  <c r="J26" i="92"/>
  <c r="H26" i="92"/>
  <c r="F26" i="92"/>
  <c r="E26" i="92"/>
  <c r="O25" i="92"/>
  <c r="L25" i="92"/>
  <c r="H25" i="92"/>
  <c r="K25" i="92" s="1"/>
  <c r="J25" i="92" s="1"/>
  <c r="F25" i="92"/>
  <c r="E25" i="92"/>
  <c r="L24" i="92"/>
  <c r="K24" i="92"/>
  <c r="H24" i="92"/>
  <c r="F24" i="92"/>
  <c r="E24" i="92"/>
  <c r="O23" i="92"/>
  <c r="L23" i="92"/>
  <c r="H23" i="92"/>
  <c r="K23" i="92" s="1"/>
  <c r="J23" i="92" s="1"/>
  <c r="F23" i="92"/>
  <c r="E23" i="92"/>
  <c r="O22" i="92"/>
  <c r="L22" i="92"/>
  <c r="H22" i="92"/>
  <c r="K22" i="92" s="1"/>
  <c r="J22" i="92" s="1"/>
  <c r="F22" i="92"/>
  <c r="E22" i="92"/>
  <c r="O21" i="92"/>
  <c r="L21" i="92"/>
  <c r="K21" i="92"/>
  <c r="J21" i="92" s="1"/>
  <c r="H21" i="92"/>
  <c r="F21" i="92"/>
  <c r="E21" i="92"/>
  <c r="L20" i="92"/>
  <c r="H20" i="92"/>
  <c r="K20" i="92" s="1"/>
  <c r="F20" i="92"/>
  <c r="E20" i="92"/>
  <c r="L19" i="92"/>
  <c r="H19" i="92"/>
  <c r="K19" i="92" s="1"/>
  <c r="F19" i="92"/>
  <c r="E19" i="92"/>
  <c r="O18" i="92"/>
  <c r="L18" i="92"/>
  <c r="H18" i="92"/>
  <c r="K18" i="92" s="1"/>
  <c r="J18" i="92" s="1"/>
  <c r="F18" i="92"/>
  <c r="E18" i="92"/>
  <c r="O17" i="92"/>
  <c r="L17" i="92"/>
  <c r="K17" i="92"/>
  <c r="J17" i="92" s="1"/>
  <c r="H17" i="92"/>
  <c r="F17" i="92"/>
  <c r="E17" i="92"/>
  <c r="O16" i="92"/>
  <c r="L16" i="92"/>
  <c r="K16" i="92"/>
  <c r="J16" i="92"/>
  <c r="H16" i="92"/>
  <c r="F16" i="92"/>
  <c r="E16" i="92"/>
  <c r="O15" i="92"/>
  <c r="L15" i="92"/>
  <c r="H15" i="92"/>
  <c r="K15" i="92" s="1"/>
  <c r="J15" i="92" s="1"/>
  <c r="F15" i="92"/>
  <c r="E15" i="92"/>
  <c r="O14" i="92"/>
  <c r="L14" i="92"/>
  <c r="H14" i="92"/>
  <c r="K14" i="92" s="1"/>
  <c r="J14" i="92" s="1"/>
  <c r="F14" i="92"/>
  <c r="E14" i="92"/>
  <c r="L13" i="92"/>
  <c r="H13" i="92"/>
  <c r="K13" i="92" s="1"/>
  <c r="F13" i="92"/>
  <c r="E13" i="92"/>
  <c r="O12" i="92"/>
  <c r="L12" i="92"/>
  <c r="H12" i="92"/>
  <c r="K12" i="92" s="1"/>
  <c r="J12" i="92" s="1"/>
  <c r="F12" i="92"/>
  <c r="E12" i="92"/>
  <c r="O11" i="92"/>
  <c r="L11" i="92"/>
  <c r="K11" i="92"/>
  <c r="J11" i="92" s="1"/>
  <c r="H11" i="92"/>
  <c r="F11" i="92"/>
  <c r="E11" i="92"/>
  <c r="O10" i="92"/>
  <c r="L10" i="92"/>
  <c r="K10" i="92"/>
  <c r="J10" i="92"/>
  <c r="H10" i="92"/>
  <c r="F10" i="92"/>
  <c r="E10" i="92"/>
  <c r="O9" i="92"/>
  <c r="L9" i="92"/>
  <c r="H9" i="92"/>
  <c r="K9" i="92" s="1"/>
  <c r="J9" i="92" s="1"/>
  <c r="F9" i="92"/>
  <c r="E9" i="92"/>
  <c r="L8" i="92"/>
  <c r="K8" i="92"/>
  <c r="H8" i="92"/>
  <c r="F8" i="92"/>
  <c r="E8" i="92"/>
  <c r="O7" i="92"/>
  <c r="L7" i="92"/>
  <c r="H7" i="92"/>
  <c r="K7" i="92" s="1"/>
  <c r="J7" i="92" s="1"/>
  <c r="F7" i="92"/>
  <c r="E7" i="92"/>
  <c r="O6" i="92"/>
  <c r="L6" i="92"/>
  <c r="H6" i="92"/>
  <c r="K6" i="92" s="1"/>
  <c r="F6" i="92"/>
  <c r="E6" i="92"/>
  <c r="K29" i="91"/>
  <c r="I29" i="91"/>
  <c r="L28" i="91"/>
  <c r="K28" i="91"/>
  <c r="J27" i="91" s="1"/>
  <c r="H28" i="91"/>
  <c r="F28" i="91"/>
  <c r="E28" i="91"/>
  <c r="O27" i="91"/>
  <c r="L27" i="91"/>
  <c r="H27" i="91"/>
  <c r="K27" i="91" s="1"/>
  <c r="F27" i="91"/>
  <c r="E27" i="91"/>
  <c r="O26" i="91"/>
  <c r="L26" i="91"/>
  <c r="K26" i="91"/>
  <c r="J26" i="91" s="1"/>
  <c r="H26" i="91"/>
  <c r="F26" i="91"/>
  <c r="E26" i="91"/>
  <c r="O25" i="91"/>
  <c r="L25" i="91"/>
  <c r="K25" i="91"/>
  <c r="J25" i="91" s="1"/>
  <c r="H25" i="91"/>
  <c r="F25" i="91"/>
  <c r="E25" i="91"/>
  <c r="O24" i="91"/>
  <c r="L24" i="91"/>
  <c r="H24" i="91"/>
  <c r="K24" i="91" s="1"/>
  <c r="J24" i="91" s="1"/>
  <c r="F24" i="91"/>
  <c r="E24" i="91"/>
  <c r="O23" i="91"/>
  <c r="L23" i="91"/>
  <c r="H23" i="91"/>
  <c r="K23" i="91" s="1"/>
  <c r="J23" i="91" s="1"/>
  <c r="F23" i="91"/>
  <c r="E23" i="91"/>
  <c r="O22" i="91"/>
  <c r="L22" i="91"/>
  <c r="H22" i="91"/>
  <c r="K22" i="91" s="1"/>
  <c r="J22" i="91" s="1"/>
  <c r="F22" i="91"/>
  <c r="E22" i="91"/>
  <c r="O21" i="91"/>
  <c r="L21" i="91"/>
  <c r="K21" i="91"/>
  <c r="J21" i="91" s="1"/>
  <c r="H21" i="91"/>
  <c r="F21" i="91"/>
  <c r="E21" i="91"/>
  <c r="O20" i="91"/>
  <c r="L20" i="91"/>
  <c r="K20" i="91"/>
  <c r="J20" i="91"/>
  <c r="H20" i="91"/>
  <c r="F20" i="91"/>
  <c r="E20" i="91"/>
  <c r="L19" i="91"/>
  <c r="H19" i="91"/>
  <c r="G19" i="91"/>
  <c r="K19" i="91" s="1"/>
  <c r="F19" i="91"/>
  <c r="E19" i="91"/>
  <c r="L18" i="91"/>
  <c r="H18" i="91"/>
  <c r="K18" i="91" s="1"/>
  <c r="F18" i="91"/>
  <c r="E18" i="91"/>
  <c r="O17" i="91"/>
  <c r="L17" i="91"/>
  <c r="H17" i="91"/>
  <c r="K17" i="91" s="1"/>
  <c r="F17" i="91"/>
  <c r="E17" i="91"/>
  <c r="O16" i="91"/>
  <c r="L16" i="91"/>
  <c r="K16" i="91"/>
  <c r="J16" i="91" s="1"/>
  <c r="H16" i="91"/>
  <c r="F16" i="91"/>
  <c r="E16" i="91"/>
  <c r="O15" i="91"/>
  <c r="L15" i="91"/>
  <c r="K15" i="91"/>
  <c r="J15" i="91"/>
  <c r="H15" i="91"/>
  <c r="F15" i="91"/>
  <c r="E15" i="91"/>
  <c r="O14" i="91"/>
  <c r="L14" i="91"/>
  <c r="H14" i="91"/>
  <c r="K14" i="91" s="1"/>
  <c r="J14" i="91" s="1"/>
  <c r="F14" i="91"/>
  <c r="E14" i="91"/>
  <c r="O13" i="91"/>
  <c r="L13" i="91"/>
  <c r="H13" i="91"/>
  <c r="K13" i="91" s="1"/>
  <c r="J13" i="91" s="1"/>
  <c r="F13" i="91"/>
  <c r="E13" i="91"/>
  <c r="O12" i="91"/>
  <c r="L12" i="91"/>
  <c r="H12" i="91"/>
  <c r="K12" i="91" s="1"/>
  <c r="J12" i="91" s="1"/>
  <c r="F12" i="91"/>
  <c r="E12" i="91"/>
  <c r="O11" i="91"/>
  <c r="L11" i="91"/>
  <c r="K11" i="91"/>
  <c r="J11" i="91"/>
  <c r="H11" i="91"/>
  <c r="F11" i="91"/>
  <c r="E11" i="91"/>
  <c r="O10" i="91"/>
  <c r="L10" i="91"/>
  <c r="H10" i="91"/>
  <c r="K10" i="91" s="1"/>
  <c r="J10" i="91" s="1"/>
  <c r="F10" i="91"/>
  <c r="E10" i="91"/>
  <c r="O9" i="91"/>
  <c r="L9" i="91"/>
  <c r="H9" i="91"/>
  <c r="K9" i="91" s="1"/>
  <c r="J9" i="91" s="1"/>
  <c r="F9" i="91"/>
  <c r="E9" i="91"/>
  <c r="L8" i="91"/>
  <c r="H8" i="91"/>
  <c r="K8" i="91" s="1"/>
  <c r="F8" i="91"/>
  <c r="E8" i="91"/>
  <c r="O7" i="91"/>
  <c r="L7" i="91"/>
  <c r="H7" i="91"/>
  <c r="K7" i="91" s="1"/>
  <c r="F7" i="91"/>
  <c r="E7" i="91"/>
  <c r="O6" i="91"/>
  <c r="L6" i="91"/>
  <c r="H6" i="91"/>
  <c r="K6" i="91" s="1"/>
  <c r="F6" i="91"/>
  <c r="E6" i="91"/>
  <c r="K30" i="90"/>
  <c r="I30" i="90"/>
  <c r="O29" i="90"/>
  <c r="L29" i="90"/>
  <c r="H29" i="90"/>
  <c r="K29" i="90" s="1"/>
  <c r="J29" i="90" s="1"/>
  <c r="F29" i="90"/>
  <c r="E29" i="90"/>
  <c r="O28" i="90"/>
  <c r="L28" i="90"/>
  <c r="K28" i="90"/>
  <c r="J28" i="90" s="1"/>
  <c r="H28" i="90"/>
  <c r="F28" i="90"/>
  <c r="E28" i="90"/>
  <c r="O27" i="90"/>
  <c r="L27" i="90"/>
  <c r="K27" i="90"/>
  <c r="J27" i="90"/>
  <c r="H27" i="90"/>
  <c r="F27" i="90"/>
  <c r="E27" i="90"/>
  <c r="O26" i="90"/>
  <c r="L26" i="90"/>
  <c r="H26" i="90"/>
  <c r="K26" i="90" s="1"/>
  <c r="J26" i="90" s="1"/>
  <c r="F26" i="90"/>
  <c r="E26" i="90"/>
  <c r="O25" i="90"/>
  <c r="L25" i="90"/>
  <c r="H25" i="90"/>
  <c r="K25" i="90" s="1"/>
  <c r="J25" i="90" s="1"/>
  <c r="F25" i="90"/>
  <c r="E25" i="90"/>
  <c r="L24" i="90"/>
  <c r="H24" i="90"/>
  <c r="K24" i="90" s="1"/>
  <c r="F24" i="90"/>
  <c r="E24" i="90"/>
  <c r="O23" i="90"/>
  <c r="L23" i="90"/>
  <c r="H23" i="90"/>
  <c r="K23" i="90" s="1"/>
  <c r="J23" i="90" s="1"/>
  <c r="F23" i="90"/>
  <c r="E23" i="90"/>
  <c r="O22" i="90"/>
  <c r="L22" i="90"/>
  <c r="K22" i="90"/>
  <c r="J22" i="90" s="1"/>
  <c r="H22" i="90"/>
  <c r="F22" i="90"/>
  <c r="E22" i="90"/>
  <c r="L21" i="90"/>
  <c r="H21" i="90"/>
  <c r="K21" i="90" s="1"/>
  <c r="F21" i="90"/>
  <c r="E21" i="90"/>
  <c r="O20" i="90"/>
  <c r="L20" i="90"/>
  <c r="K20" i="90"/>
  <c r="H20" i="90"/>
  <c r="F20" i="90"/>
  <c r="E20" i="90"/>
  <c r="L19" i="90"/>
  <c r="H19" i="90"/>
  <c r="K19" i="90" s="1"/>
  <c r="F19" i="90"/>
  <c r="E19" i="90"/>
  <c r="O18" i="90"/>
  <c r="L18" i="90"/>
  <c r="K18" i="90"/>
  <c r="J18" i="90" s="1"/>
  <c r="H18" i="90"/>
  <c r="F18" i="90"/>
  <c r="E18" i="90"/>
  <c r="O17" i="90"/>
  <c r="L17" i="90"/>
  <c r="K17" i="90"/>
  <c r="J17" i="90"/>
  <c r="H17" i="90"/>
  <c r="F17" i="90"/>
  <c r="E17" i="90"/>
  <c r="O16" i="90"/>
  <c r="L16" i="90"/>
  <c r="H16" i="90"/>
  <c r="K16" i="90" s="1"/>
  <c r="J16" i="90" s="1"/>
  <c r="F16" i="90"/>
  <c r="E16" i="90"/>
  <c r="O15" i="90"/>
  <c r="L15" i="90"/>
  <c r="H15" i="90"/>
  <c r="K15" i="90" s="1"/>
  <c r="J15" i="90" s="1"/>
  <c r="F15" i="90"/>
  <c r="E15" i="90"/>
  <c r="O14" i="90"/>
  <c r="L14" i="90"/>
  <c r="K14" i="90"/>
  <c r="J14" i="90" s="1"/>
  <c r="H14" i="90"/>
  <c r="F14" i="90"/>
  <c r="E14" i="90"/>
  <c r="O13" i="90"/>
  <c r="L13" i="90"/>
  <c r="K13" i="90"/>
  <c r="J13" i="90"/>
  <c r="H13" i="90"/>
  <c r="F13" i="90"/>
  <c r="E13" i="90"/>
  <c r="O12" i="90"/>
  <c r="L12" i="90"/>
  <c r="H12" i="90"/>
  <c r="K12" i="90" s="1"/>
  <c r="J12" i="90" s="1"/>
  <c r="F12" i="90"/>
  <c r="E12" i="90"/>
  <c r="L11" i="90"/>
  <c r="K11" i="90"/>
  <c r="H11" i="90"/>
  <c r="F11" i="90"/>
  <c r="E11" i="90"/>
  <c r="O10" i="90"/>
  <c r="L10" i="90"/>
  <c r="H10" i="90"/>
  <c r="K10" i="90" s="1"/>
  <c r="J10" i="90" s="1"/>
  <c r="F10" i="90"/>
  <c r="E10" i="90"/>
  <c r="O9" i="90"/>
  <c r="L9" i="90"/>
  <c r="H9" i="90"/>
  <c r="K9" i="90" s="1"/>
  <c r="J9" i="90" s="1"/>
  <c r="F9" i="90"/>
  <c r="E9" i="90"/>
  <c r="L8" i="90"/>
  <c r="H8" i="90"/>
  <c r="K8" i="90" s="1"/>
  <c r="F8" i="90"/>
  <c r="E8" i="90"/>
  <c r="O7" i="90"/>
  <c r="L7" i="90"/>
  <c r="H7" i="90"/>
  <c r="K7" i="90" s="1"/>
  <c r="J7" i="90" s="1"/>
  <c r="F7" i="90"/>
  <c r="E7" i="90"/>
  <c r="O6" i="90"/>
  <c r="L6" i="90"/>
  <c r="H6" i="90"/>
  <c r="K6" i="90" s="1"/>
  <c r="F6" i="90"/>
  <c r="E6" i="90"/>
  <c r="I30" i="89"/>
  <c r="O29" i="89"/>
  <c r="L29" i="89"/>
  <c r="K29" i="89"/>
  <c r="J29" i="89"/>
  <c r="H29" i="89"/>
  <c r="F29" i="89"/>
  <c r="E29" i="89"/>
  <c r="O28" i="89"/>
  <c r="L28" i="89"/>
  <c r="K28" i="89"/>
  <c r="J28" i="89" s="1"/>
  <c r="H28" i="89"/>
  <c r="F28" i="89"/>
  <c r="E28" i="89"/>
  <c r="O27" i="89"/>
  <c r="L27" i="89"/>
  <c r="K27" i="89"/>
  <c r="J27" i="89"/>
  <c r="H27" i="89"/>
  <c r="F27" i="89"/>
  <c r="E27" i="89"/>
  <c r="O26" i="89"/>
  <c r="L26" i="89"/>
  <c r="K26" i="89"/>
  <c r="J26" i="89"/>
  <c r="H26" i="89"/>
  <c r="F26" i="89"/>
  <c r="E26" i="89"/>
  <c r="O25" i="89"/>
  <c r="L25" i="89"/>
  <c r="K25" i="89"/>
  <c r="J25" i="89"/>
  <c r="H25" i="89"/>
  <c r="F25" i="89"/>
  <c r="E25" i="89"/>
  <c r="L24" i="89"/>
  <c r="K24" i="89"/>
  <c r="J23" i="89" s="1"/>
  <c r="H24" i="89"/>
  <c r="F24" i="89"/>
  <c r="E24" i="89"/>
  <c r="O23" i="89"/>
  <c r="L23" i="89"/>
  <c r="K23" i="89"/>
  <c r="H23" i="89"/>
  <c r="F23" i="89"/>
  <c r="E23" i="89"/>
  <c r="O22" i="89"/>
  <c r="L22" i="89"/>
  <c r="K22" i="89"/>
  <c r="J22" i="89" s="1"/>
  <c r="H22" i="89"/>
  <c r="F22" i="89"/>
  <c r="E22" i="89"/>
  <c r="L21" i="89"/>
  <c r="K21" i="89"/>
  <c r="H21" i="89"/>
  <c r="F21" i="89"/>
  <c r="E21" i="89"/>
  <c r="O20" i="89"/>
  <c r="L20" i="89"/>
  <c r="K20" i="89"/>
  <c r="J20" i="89" s="1"/>
  <c r="H20" i="89"/>
  <c r="F20" i="89"/>
  <c r="E20" i="89"/>
  <c r="L19" i="89"/>
  <c r="K19" i="89"/>
  <c r="H19" i="89"/>
  <c r="F19" i="89"/>
  <c r="E19" i="89"/>
  <c r="O18" i="89"/>
  <c r="L18" i="89"/>
  <c r="K18" i="89"/>
  <c r="J18" i="89" s="1"/>
  <c r="H18" i="89"/>
  <c r="F18" i="89"/>
  <c r="E18" i="89"/>
  <c r="O17" i="89"/>
  <c r="L17" i="89"/>
  <c r="K17" i="89"/>
  <c r="J17" i="89"/>
  <c r="H17" i="89"/>
  <c r="F17" i="89"/>
  <c r="E17" i="89"/>
  <c r="O16" i="89"/>
  <c r="L16" i="89"/>
  <c r="K16" i="89"/>
  <c r="J16" i="89"/>
  <c r="H16" i="89"/>
  <c r="F16" i="89"/>
  <c r="E16" i="89"/>
  <c r="O15" i="89"/>
  <c r="L15" i="89"/>
  <c r="K15" i="89"/>
  <c r="J15" i="89"/>
  <c r="H15" i="89"/>
  <c r="F15" i="89"/>
  <c r="E15" i="89"/>
  <c r="O14" i="89"/>
  <c r="L14" i="89"/>
  <c r="K14" i="89"/>
  <c r="J14" i="89" s="1"/>
  <c r="H14" i="89"/>
  <c r="F14" i="89"/>
  <c r="E14" i="89"/>
  <c r="O13" i="89"/>
  <c r="L13" i="89"/>
  <c r="K13" i="89"/>
  <c r="J13" i="89"/>
  <c r="H13" i="89"/>
  <c r="F13" i="89"/>
  <c r="E13" i="89"/>
  <c r="O12" i="89"/>
  <c r="L12" i="89"/>
  <c r="K12" i="89"/>
  <c r="J12" i="89"/>
  <c r="H12" i="89"/>
  <c r="F12" i="89"/>
  <c r="E12" i="89"/>
  <c r="L11" i="89"/>
  <c r="K11" i="89"/>
  <c r="K30" i="89" s="1"/>
  <c r="M6" i="89" s="1"/>
  <c r="H11" i="89"/>
  <c r="F11" i="89"/>
  <c r="E11" i="89"/>
  <c r="O10" i="89"/>
  <c r="L10" i="89"/>
  <c r="K10" i="89"/>
  <c r="H10" i="89"/>
  <c r="F10" i="89"/>
  <c r="E10" i="89"/>
  <c r="O9" i="89"/>
  <c r="L9" i="89"/>
  <c r="K9" i="89"/>
  <c r="J9" i="89"/>
  <c r="H9" i="89"/>
  <c r="F9" i="89"/>
  <c r="E9" i="89"/>
  <c r="L8" i="89"/>
  <c r="K8" i="89"/>
  <c r="H8" i="89"/>
  <c r="F8" i="89"/>
  <c r="E8" i="89"/>
  <c r="O7" i="89"/>
  <c r="L7" i="89"/>
  <c r="K7" i="89"/>
  <c r="J7" i="89"/>
  <c r="H7" i="89"/>
  <c r="F7" i="89"/>
  <c r="E7" i="89"/>
  <c r="O6" i="89"/>
  <c r="L6" i="89"/>
  <c r="K6" i="89"/>
  <c r="J6" i="89"/>
  <c r="H6" i="89"/>
  <c r="F6" i="89"/>
  <c r="E6" i="89"/>
  <c r="K30" i="88"/>
  <c r="I30" i="88"/>
  <c r="L29" i="88"/>
  <c r="K29" i="88"/>
  <c r="J28" i="88" s="1"/>
  <c r="H29" i="88"/>
  <c r="F29" i="88"/>
  <c r="E29" i="88"/>
  <c r="O28" i="88"/>
  <c r="H28" i="88"/>
  <c r="K28" i="88" s="1"/>
  <c r="F28" i="88"/>
  <c r="E28" i="88"/>
  <c r="O27" i="88"/>
  <c r="L27" i="88"/>
  <c r="K27" i="88"/>
  <c r="J27" i="88" s="1"/>
  <c r="H27" i="88"/>
  <c r="F27" i="88"/>
  <c r="E27" i="88"/>
  <c r="O26" i="88"/>
  <c r="L26" i="88"/>
  <c r="K26" i="88"/>
  <c r="J26" i="88"/>
  <c r="H26" i="88"/>
  <c r="F26" i="88"/>
  <c r="E26" i="88"/>
  <c r="O25" i="88"/>
  <c r="L25" i="88"/>
  <c r="H25" i="88"/>
  <c r="K25" i="88" s="1"/>
  <c r="J25" i="88" s="1"/>
  <c r="F25" i="88"/>
  <c r="E25" i="88"/>
  <c r="O24" i="88"/>
  <c r="L24" i="88"/>
  <c r="H24" i="88"/>
  <c r="K24" i="88" s="1"/>
  <c r="J24" i="88" s="1"/>
  <c r="F24" i="88"/>
  <c r="E24" i="88"/>
  <c r="O23" i="88"/>
  <c r="L23" i="88"/>
  <c r="K23" i="88"/>
  <c r="J23" i="88" s="1"/>
  <c r="H23" i="88"/>
  <c r="F23" i="88"/>
  <c r="E23" i="88"/>
  <c r="H22" i="88"/>
  <c r="K22" i="88" s="1"/>
  <c r="F22" i="88"/>
  <c r="E22" i="88"/>
  <c r="O21" i="88"/>
  <c r="L21" i="88"/>
  <c r="K21" i="88"/>
  <c r="J21" i="88"/>
  <c r="H21" i="88"/>
  <c r="F21" i="88"/>
  <c r="E21" i="88"/>
  <c r="K20" i="88"/>
  <c r="H20" i="88"/>
  <c r="F20" i="88"/>
  <c r="E20" i="88"/>
  <c r="O19" i="88"/>
  <c r="L19" i="88"/>
  <c r="H19" i="88"/>
  <c r="K19" i="88" s="1"/>
  <c r="J19" i="88" s="1"/>
  <c r="F19" i="88"/>
  <c r="E19" i="88"/>
  <c r="L18" i="88"/>
  <c r="K18" i="88"/>
  <c r="H18" i="88"/>
  <c r="F18" i="88"/>
  <c r="E18" i="88"/>
  <c r="O17" i="88"/>
  <c r="L17" i="88"/>
  <c r="H17" i="88"/>
  <c r="K17" i="88" s="1"/>
  <c r="J17" i="88" s="1"/>
  <c r="F17" i="88"/>
  <c r="E17" i="88"/>
  <c r="O16" i="88"/>
  <c r="L16" i="88"/>
  <c r="H16" i="88"/>
  <c r="K16" i="88" s="1"/>
  <c r="J16" i="88" s="1"/>
  <c r="F16" i="88"/>
  <c r="E16" i="88"/>
  <c r="O15" i="88"/>
  <c r="L15" i="88"/>
  <c r="K15" i="88"/>
  <c r="J15" i="88" s="1"/>
  <c r="H15" i="88"/>
  <c r="F15" i="88"/>
  <c r="E15" i="88"/>
  <c r="O14" i="88"/>
  <c r="L14" i="88"/>
  <c r="K14" i="88"/>
  <c r="J14" i="88"/>
  <c r="H14" i="88"/>
  <c r="F14" i="88"/>
  <c r="E14" i="88"/>
  <c r="O13" i="88"/>
  <c r="L13" i="88"/>
  <c r="H13" i="88"/>
  <c r="K13" i="88" s="1"/>
  <c r="J13" i="88" s="1"/>
  <c r="F13" i="88"/>
  <c r="E13" i="88"/>
  <c r="O12" i="88"/>
  <c r="L12" i="88"/>
  <c r="H12" i="88"/>
  <c r="K12" i="88" s="1"/>
  <c r="J12" i="88" s="1"/>
  <c r="F12" i="88"/>
  <c r="E12" i="88"/>
  <c r="O11" i="88"/>
  <c r="L11" i="88"/>
  <c r="K11" i="88"/>
  <c r="J11" i="88" s="1"/>
  <c r="H11" i="88"/>
  <c r="F11" i="88"/>
  <c r="E11" i="88"/>
  <c r="L10" i="88"/>
  <c r="H10" i="88"/>
  <c r="K10" i="88" s="1"/>
  <c r="F10" i="88"/>
  <c r="E10" i="88"/>
  <c r="O9" i="88"/>
  <c r="L9" i="88"/>
  <c r="K9" i="88"/>
  <c r="H9" i="88"/>
  <c r="F9" i="88"/>
  <c r="E9" i="88"/>
  <c r="O8" i="88"/>
  <c r="L8" i="88"/>
  <c r="K8" i="88"/>
  <c r="J8" i="88"/>
  <c r="H8" i="88"/>
  <c r="F8" i="88"/>
  <c r="E8" i="88"/>
  <c r="O7" i="88"/>
  <c r="L7" i="88"/>
  <c r="H7" i="88"/>
  <c r="K7" i="88" s="1"/>
  <c r="J7" i="88" s="1"/>
  <c r="F7" i="88"/>
  <c r="E7" i="88"/>
  <c r="O6" i="88"/>
  <c r="L6" i="88"/>
  <c r="H6" i="88"/>
  <c r="K6" i="88" s="1"/>
  <c r="F6" i="88"/>
  <c r="E6" i="88"/>
  <c r="K29" i="87"/>
  <c r="I29" i="87"/>
  <c r="L28" i="87"/>
  <c r="H28" i="87"/>
  <c r="K28" i="87" s="1"/>
  <c r="J27" i="87" s="1"/>
  <c r="F28" i="87"/>
  <c r="E28" i="87"/>
  <c r="O27" i="87"/>
  <c r="H27" i="87"/>
  <c r="K27" i="87" s="1"/>
  <c r="F27" i="87"/>
  <c r="E27" i="87"/>
  <c r="O26" i="87"/>
  <c r="L26" i="87"/>
  <c r="H26" i="87"/>
  <c r="K26" i="87" s="1"/>
  <c r="J26" i="87" s="1"/>
  <c r="F26" i="87"/>
  <c r="E26" i="87"/>
  <c r="O25" i="87"/>
  <c r="L25" i="87"/>
  <c r="K25" i="87"/>
  <c r="J25" i="87" s="1"/>
  <c r="H25" i="87"/>
  <c r="F25" i="87"/>
  <c r="E25" i="87"/>
  <c r="O24" i="87"/>
  <c r="L24" i="87"/>
  <c r="K24" i="87"/>
  <c r="J24" i="87" s="1"/>
  <c r="H24" i="87"/>
  <c r="F24" i="87"/>
  <c r="E24" i="87"/>
  <c r="O23" i="87"/>
  <c r="L23" i="87"/>
  <c r="H23" i="87"/>
  <c r="K23" i="87" s="1"/>
  <c r="J23" i="87" s="1"/>
  <c r="F23" i="87"/>
  <c r="E23" i="87"/>
  <c r="O22" i="87"/>
  <c r="L22" i="87"/>
  <c r="H22" i="87"/>
  <c r="K22" i="87" s="1"/>
  <c r="J22" i="87" s="1"/>
  <c r="F22" i="87"/>
  <c r="E22" i="87"/>
  <c r="H21" i="87"/>
  <c r="K21" i="87" s="1"/>
  <c r="F21" i="87"/>
  <c r="O20" i="87"/>
  <c r="L20" i="87"/>
  <c r="K20" i="87"/>
  <c r="J20" i="87" s="1"/>
  <c r="H20" i="87"/>
  <c r="F20" i="87"/>
  <c r="E20" i="87"/>
  <c r="O19" i="87"/>
  <c r="L19" i="87"/>
  <c r="H19" i="87"/>
  <c r="K19" i="87" s="1"/>
  <c r="J19" i="87" s="1"/>
  <c r="F19" i="87"/>
  <c r="E19" i="87"/>
  <c r="L18" i="87"/>
  <c r="K18" i="87"/>
  <c r="H18" i="87"/>
  <c r="F18" i="87"/>
  <c r="E18" i="87"/>
  <c r="O17" i="87"/>
  <c r="L17" i="87"/>
  <c r="H17" i="87"/>
  <c r="K17" i="87" s="1"/>
  <c r="J17" i="87" s="1"/>
  <c r="F17" i="87"/>
  <c r="E17" i="87"/>
  <c r="O16" i="87"/>
  <c r="L16" i="87"/>
  <c r="H16" i="87"/>
  <c r="K16" i="87" s="1"/>
  <c r="J16" i="87" s="1"/>
  <c r="F16" i="87"/>
  <c r="E16" i="87"/>
  <c r="O15" i="87"/>
  <c r="L15" i="87"/>
  <c r="K15" i="87"/>
  <c r="J15" i="87" s="1"/>
  <c r="H15" i="87"/>
  <c r="F15" i="87"/>
  <c r="E15" i="87"/>
  <c r="O14" i="87"/>
  <c r="L14" i="87"/>
  <c r="K14" i="87"/>
  <c r="J14" i="87" s="1"/>
  <c r="H14" i="87"/>
  <c r="F14" i="87"/>
  <c r="E14" i="87"/>
  <c r="O13" i="87"/>
  <c r="L13" i="87"/>
  <c r="H13" i="87"/>
  <c r="K13" i="87" s="1"/>
  <c r="J13" i="87" s="1"/>
  <c r="F13" i="87"/>
  <c r="E13" i="87"/>
  <c r="O12" i="87"/>
  <c r="L12" i="87"/>
  <c r="H12" i="87"/>
  <c r="K12" i="87" s="1"/>
  <c r="J12" i="87" s="1"/>
  <c r="F12" i="87"/>
  <c r="E12" i="87"/>
  <c r="O11" i="87"/>
  <c r="L11" i="87"/>
  <c r="K11" i="87"/>
  <c r="J11" i="87" s="1"/>
  <c r="H11" i="87"/>
  <c r="F11" i="87"/>
  <c r="E11" i="87"/>
  <c r="L10" i="87"/>
  <c r="H10" i="87"/>
  <c r="K10" i="87" s="1"/>
  <c r="F10" i="87"/>
  <c r="E10" i="87"/>
  <c r="O9" i="87"/>
  <c r="L9" i="87"/>
  <c r="K9" i="87"/>
  <c r="J9" i="87" s="1"/>
  <c r="H9" i="87"/>
  <c r="F9" i="87"/>
  <c r="E9" i="87"/>
  <c r="O8" i="87"/>
  <c r="L8" i="87"/>
  <c r="K8" i="87"/>
  <c r="J8" i="87" s="1"/>
  <c r="H8" i="87"/>
  <c r="F8" i="87"/>
  <c r="E8" i="87"/>
  <c r="O7" i="87"/>
  <c r="L7" i="87"/>
  <c r="H7" i="87"/>
  <c r="K7" i="87" s="1"/>
  <c r="J7" i="87" s="1"/>
  <c r="F7" i="87"/>
  <c r="E7" i="87"/>
  <c r="O6" i="87"/>
  <c r="L6" i="87"/>
  <c r="H6" i="87"/>
  <c r="K6" i="87" s="1"/>
  <c r="F6" i="87"/>
  <c r="E6" i="87"/>
  <c r="K30" i="85"/>
  <c r="I30" i="85"/>
  <c r="O29" i="85"/>
  <c r="L29" i="85"/>
  <c r="K29" i="85"/>
  <c r="J29" i="85" s="1"/>
  <c r="H29" i="85"/>
  <c r="F29" i="85"/>
  <c r="E29" i="85"/>
  <c r="O28" i="85"/>
  <c r="L28" i="85"/>
  <c r="K28" i="85"/>
  <c r="J28" i="85"/>
  <c r="H28" i="85"/>
  <c r="F28" i="85"/>
  <c r="E28" i="85"/>
  <c r="O27" i="85"/>
  <c r="L27" i="85"/>
  <c r="H27" i="85"/>
  <c r="K27" i="85" s="1"/>
  <c r="J27" i="85" s="1"/>
  <c r="F27" i="85"/>
  <c r="E27" i="85"/>
  <c r="O26" i="85"/>
  <c r="L26" i="85"/>
  <c r="H26" i="85"/>
  <c r="K26" i="85" s="1"/>
  <c r="J26" i="85" s="1"/>
  <c r="F26" i="85"/>
  <c r="E26" i="85"/>
  <c r="O25" i="85"/>
  <c r="K25" i="85"/>
  <c r="J25" i="85"/>
  <c r="H25" i="85"/>
  <c r="F25" i="85"/>
  <c r="E25" i="85"/>
  <c r="O24" i="85"/>
  <c r="L24" i="85"/>
  <c r="H24" i="85"/>
  <c r="K24" i="85" s="1"/>
  <c r="J24" i="85" s="1"/>
  <c r="F24" i="85"/>
  <c r="E24" i="85"/>
  <c r="O23" i="85"/>
  <c r="L23" i="85"/>
  <c r="H23" i="85"/>
  <c r="K23" i="85" s="1"/>
  <c r="J23" i="85" s="1"/>
  <c r="F23" i="85"/>
  <c r="E23" i="85"/>
  <c r="O22" i="85"/>
  <c r="L22" i="85"/>
  <c r="K22" i="85"/>
  <c r="J22" i="85" s="1"/>
  <c r="H22" i="85"/>
  <c r="F22" i="85"/>
  <c r="E22" i="85"/>
  <c r="L21" i="85"/>
  <c r="K21" i="85"/>
  <c r="H21" i="85"/>
  <c r="F21" i="85"/>
  <c r="E21" i="85"/>
  <c r="O20" i="85"/>
  <c r="L20" i="85"/>
  <c r="K20" i="85"/>
  <c r="J20" i="85" s="1"/>
  <c r="H20" i="85"/>
  <c r="F20" i="85"/>
  <c r="E20" i="85"/>
  <c r="O19" i="85"/>
  <c r="L19" i="85"/>
  <c r="K19" i="85"/>
  <c r="J19" i="85"/>
  <c r="H19" i="85"/>
  <c r="F19" i="85"/>
  <c r="E19" i="85"/>
  <c r="O18" i="85"/>
  <c r="L18" i="85"/>
  <c r="H18" i="85"/>
  <c r="K18" i="85" s="1"/>
  <c r="J18" i="85" s="1"/>
  <c r="F18" i="85"/>
  <c r="E18" i="85"/>
  <c r="O17" i="85"/>
  <c r="L17" i="85"/>
  <c r="H17" i="85"/>
  <c r="K17" i="85" s="1"/>
  <c r="J17" i="85" s="1"/>
  <c r="F17" i="85"/>
  <c r="E17" i="85"/>
  <c r="O16" i="85"/>
  <c r="K16" i="85"/>
  <c r="J16" i="85"/>
  <c r="H16" i="85"/>
  <c r="F16" i="85"/>
  <c r="E16" i="85"/>
  <c r="O15" i="85"/>
  <c r="H15" i="85"/>
  <c r="K15" i="85" s="1"/>
  <c r="J15" i="85" s="1"/>
  <c r="F15" i="85"/>
  <c r="E15" i="85"/>
  <c r="L14" i="85"/>
  <c r="H14" i="85"/>
  <c r="K14" i="85" s="1"/>
  <c r="F14" i="85"/>
  <c r="E14" i="85"/>
  <c r="O13" i="85"/>
  <c r="L13" i="85"/>
  <c r="H13" i="85"/>
  <c r="K13" i="85" s="1"/>
  <c r="J13" i="85" s="1"/>
  <c r="F13" i="85"/>
  <c r="E13" i="85"/>
  <c r="L12" i="85"/>
  <c r="H12" i="85"/>
  <c r="K12" i="85" s="1"/>
  <c r="F12" i="85"/>
  <c r="E12" i="85"/>
  <c r="O11" i="85"/>
  <c r="L11" i="85"/>
  <c r="H11" i="85"/>
  <c r="K11" i="85" s="1"/>
  <c r="J11" i="85" s="1"/>
  <c r="F11" i="85"/>
  <c r="E11" i="85"/>
  <c r="O10" i="85"/>
  <c r="L10" i="85"/>
  <c r="H10" i="85"/>
  <c r="K10" i="85" s="1"/>
  <c r="J10" i="85" s="1"/>
  <c r="F10" i="85"/>
  <c r="E10" i="85"/>
  <c r="L9" i="85"/>
  <c r="K9" i="85"/>
  <c r="H9" i="85"/>
  <c r="F9" i="85"/>
  <c r="E9" i="85"/>
  <c r="L8" i="85"/>
  <c r="H8" i="85"/>
  <c r="K8" i="85" s="1"/>
  <c r="F8" i="85"/>
  <c r="E8" i="85"/>
  <c r="O7" i="85"/>
  <c r="L7" i="85"/>
  <c r="H7" i="85"/>
  <c r="K7" i="85" s="1"/>
  <c r="J7" i="85" s="1"/>
  <c r="F7" i="85"/>
  <c r="E7" i="85"/>
  <c r="O6" i="85"/>
  <c r="L6" i="85"/>
  <c r="H6" i="85"/>
  <c r="K6" i="85" s="1"/>
  <c r="F6" i="85"/>
  <c r="E6" i="85"/>
  <c r="K31" i="84"/>
  <c r="I31" i="84"/>
  <c r="O30" i="84"/>
  <c r="L30" i="84"/>
  <c r="H30" i="84"/>
  <c r="K30" i="84" s="1"/>
  <c r="J30" i="84" s="1"/>
  <c r="F30" i="84"/>
  <c r="E30" i="84"/>
  <c r="O29" i="84"/>
  <c r="L29" i="84"/>
  <c r="K29" i="84"/>
  <c r="J29" i="84" s="1"/>
  <c r="H29" i="84"/>
  <c r="F29" i="84"/>
  <c r="E29" i="84"/>
  <c r="O28" i="84"/>
  <c r="L28" i="84"/>
  <c r="H28" i="84"/>
  <c r="K28" i="84" s="1"/>
  <c r="J28" i="84" s="1"/>
  <c r="F28" i="84"/>
  <c r="E28" i="84"/>
  <c r="O27" i="84"/>
  <c r="L27" i="84"/>
  <c r="H27" i="84"/>
  <c r="K27" i="84" s="1"/>
  <c r="J27" i="84" s="1"/>
  <c r="F27" i="84"/>
  <c r="E27" i="84"/>
  <c r="O26" i="84"/>
  <c r="K26" i="84"/>
  <c r="J26" i="84"/>
  <c r="H26" i="84"/>
  <c r="F26" i="84"/>
  <c r="E26" i="84"/>
  <c r="O25" i="84"/>
  <c r="L25" i="84"/>
  <c r="H25" i="84"/>
  <c r="K25" i="84" s="1"/>
  <c r="J25" i="84" s="1"/>
  <c r="F25" i="84"/>
  <c r="E25" i="84"/>
  <c r="O24" i="84"/>
  <c r="L24" i="84"/>
  <c r="H24" i="84"/>
  <c r="K24" i="84" s="1"/>
  <c r="J24" i="84" s="1"/>
  <c r="F24" i="84"/>
  <c r="E24" i="84"/>
  <c r="O23" i="84"/>
  <c r="L23" i="84"/>
  <c r="K23" i="84"/>
  <c r="J23" i="84" s="1"/>
  <c r="H23" i="84"/>
  <c r="F23" i="84"/>
  <c r="E23" i="84"/>
  <c r="L22" i="84"/>
  <c r="H22" i="84"/>
  <c r="K22" i="84" s="1"/>
  <c r="F22" i="84"/>
  <c r="E22" i="84"/>
  <c r="O21" i="84"/>
  <c r="L21" i="84"/>
  <c r="K21" i="84"/>
  <c r="H21" i="84"/>
  <c r="F21" i="84"/>
  <c r="E21" i="84"/>
  <c r="O20" i="84"/>
  <c r="L20" i="84"/>
  <c r="K20" i="84"/>
  <c r="J20" i="84"/>
  <c r="H20" i="84"/>
  <c r="F20" i="84"/>
  <c r="E20" i="84"/>
  <c r="O19" i="84"/>
  <c r="L19" i="84"/>
  <c r="H19" i="84"/>
  <c r="K19" i="84" s="1"/>
  <c r="J19" i="84" s="1"/>
  <c r="F19" i="84"/>
  <c r="E19" i="84"/>
  <c r="O18" i="84"/>
  <c r="L18" i="84"/>
  <c r="H18" i="84"/>
  <c r="K18" i="84" s="1"/>
  <c r="J18" i="84" s="1"/>
  <c r="F18" i="84"/>
  <c r="E18" i="84"/>
  <c r="H17" i="84"/>
  <c r="K17" i="84" s="1"/>
  <c r="F17" i="84"/>
  <c r="E17" i="84"/>
  <c r="O16" i="84"/>
  <c r="K16" i="84"/>
  <c r="J16" i="84"/>
  <c r="H16" i="84"/>
  <c r="F16" i="84"/>
  <c r="E16" i="84"/>
  <c r="O15" i="84"/>
  <c r="H15" i="84"/>
  <c r="K15" i="84" s="1"/>
  <c r="J15" i="84" s="1"/>
  <c r="F15" i="84"/>
  <c r="E15" i="84"/>
  <c r="L14" i="84"/>
  <c r="H14" i="84"/>
  <c r="K14" i="84" s="1"/>
  <c r="F14" i="84"/>
  <c r="E14" i="84"/>
  <c r="O13" i="84"/>
  <c r="L13" i="84"/>
  <c r="H13" i="84"/>
  <c r="K13" i="84" s="1"/>
  <c r="F13" i="84"/>
  <c r="E13" i="84"/>
  <c r="L12" i="84"/>
  <c r="H12" i="84"/>
  <c r="K12" i="84" s="1"/>
  <c r="F12" i="84"/>
  <c r="E12" i="84"/>
  <c r="O11" i="84"/>
  <c r="L11" i="84"/>
  <c r="H11" i="84"/>
  <c r="K11" i="84" s="1"/>
  <c r="J11" i="84" s="1"/>
  <c r="F11" i="84"/>
  <c r="E11" i="84"/>
  <c r="O10" i="84"/>
  <c r="L10" i="84"/>
  <c r="K10" i="84"/>
  <c r="J10" i="84" s="1"/>
  <c r="H10" i="84"/>
  <c r="F10" i="84"/>
  <c r="E10" i="84"/>
  <c r="L9" i="84"/>
  <c r="H9" i="84"/>
  <c r="K9" i="84" s="1"/>
  <c r="F9" i="84"/>
  <c r="E9" i="84"/>
  <c r="L8" i="84"/>
  <c r="H8" i="84"/>
  <c r="K8" i="84" s="1"/>
  <c r="F8" i="84"/>
  <c r="E8" i="84"/>
  <c r="O7" i="84"/>
  <c r="L7" i="84"/>
  <c r="H7" i="84"/>
  <c r="K7" i="84" s="1"/>
  <c r="F7" i="84"/>
  <c r="E7" i="84"/>
  <c r="O6" i="84"/>
  <c r="L6" i="84"/>
  <c r="H6" i="84"/>
  <c r="K6" i="84" s="1"/>
  <c r="F6" i="84"/>
  <c r="E6" i="84"/>
  <c r="M6" i="103" l="1"/>
  <c r="M6" i="102"/>
  <c r="J6" i="102"/>
  <c r="J6" i="101"/>
  <c r="M6" i="100"/>
  <c r="J6" i="100"/>
  <c r="M6" i="99"/>
  <c r="J6" i="99"/>
  <c r="M6" i="98"/>
  <c r="J6" i="98"/>
  <c r="M6" i="97"/>
  <c r="J6" i="97"/>
  <c r="M6" i="96"/>
  <c r="J6" i="96"/>
  <c r="M6" i="95"/>
  <c r="M6" i="94"/>
  <c r="J17" i="94"/>
  <c r="J6" i="94"/>
  <c r="M6" i="93"/>
  <c r="J6" i="93"/>
  <c r="M6" i="92"/>
  <c r="J6" i="92"/>
  <c r="J17" i="91"/>
  <c r="M6" i="91"/>
  <c r="J6" i="91"/>
  <c r="J7" i="91"/>
  <c r="M6" i="90"/>
  <c r="J6" i="90"/>
  <c r="J20" i="90"/>
  <c r="J10" i="89"/>
  <c r="M6" i="88"/>
  <c r="J6" i="88"/>
  <c r="J9" i="88"/>
  <c r="M6" i="87"/>
  <c r="J6" i="87"/>
  <c r="M6" i="85"/>
  <c r="J6" i="85"/>
  <c r="M6" i="84"/>
  <c r="J6" i="84"/>
  <c r="J7" i="84"/>
  <c r="J13" i="84"/>
  <c r="J21" i="84"/>
</calcChain>
</file>

<file path=xl/sharedStrings.xml><?xml version="1.0" encoding="utf-8"?>
<sst xmlns="http://schemas.openxmlformats.org/spreadsheetml/2006/main" count="1408" uniqueCount="194">
  <si>
    <t xml:space="preserve">   A-ONE Polymer Ltd. </t>
  </si>
  <si>
    <t xml:space="preserve">  Morkun, Tongi, Gazipur</t>
  </si>
  <si>
    <t xml:space="preserve">                      Machine Wise Production Report (Pipe)</t>
  </si>
  <si>
    <t>SL NO</t>
  </si>
  <si>
    <t>Unit No.</t>
  </si>
  <si>
    <t>Operator Name</t>
  </si>
  <si>
    <t>Name of items Code</t>
  </si>
  <si>
    <t>Name of items</t>
  </si>
  <si>
    <t>Colour</t>
  </si>
  <si>
    <t>Total Production (In Pcs)</t>
  </si>
  <si>
    <t>Weight /Pcs (Kg)</t>
  </si>
  <si>
    <t>Crush (Kg)</t>
  </si>
  <si>
    <t>Machine Wise % of Wastage</t>
  </si>
  <si>
    <t>Total Production Weight (Kg)</t>
  </si>
  <si>
    <t>Mixer /PHR of CaCo3</t>
  </si>
  <si>
    <t>Totall % of Wastage</t>
  </si>
  <si>
    <t>Running Time (Hr.)</t>
  </si>
  <si>
    <t>Idel Hour</t>
  </si>
  <si>
    <t>Remarks</t>
  </si>
  <si>
    <t>U-1</t>
  </si>
  <si>
    <t>Sha-alom</t>
  </si>
  <si>
    <t>"</t>
  </si>
  <si>
    <t>U-2</t>
  </si>
  <si>
    <t>Motaleb</t>
  </si>
  <si>
    <t>U-3</t>
  </si>
  <si>
    <t>U-4</t>
  </si>
  <si>
    <t>U-5</t>
  </si>
  <si>
    <t>Rasel</t>
  </si>
  <si>
    <t>U-6</t>
  </si>
  <si>
    <t>Al-amin</t>
  </si>
  <si>
    <t>U-7</t>
  </si>
  <si>
    <t>Sujon</t>
  </si>
  <si>
    <t>U-8</t>
  </si>
  <si>
    <t>U-9</t>
  </si>
  <si>
    <t>U-10</t>
  </si>
  <si>
    <t>U-11</t>
  </si>
  <si>
    <t>U-12</t>
  </si>
  <si>
    <t>Sohel</t>
  </si>
  <si>
    <t>U-13</t>
  </si>
  <si>
    <t>U-14</t>
  </si>
  <si>
    <t>U-15</t>
  </si>
  <si>
    <t>U-16</t>
  </si>
  <si>
    <t>U-17</t>
  </si>
  <si>
    <t>U-18</t>
  </si>
  <si>
    <t>U-19</t>
  </si>
  <si>
    <t>Sabuj</t>
  </si>
  <si>
    <t>Bisnu</t>
  </si>
  <si>
    <t>Azijul</t>
  </si>
  <si>
    <t>Die Clean</t>
  </si>
  <si>
    <t>Bokkor</t>
  </si>
  <si>
    <t>Joy</t>
  </si>
  <si>
    <t>Taher</t>
  </si>
  <si>
    <t>No Demand</t>
  </si>
  <si>
    <t>Krisno</t>
  </si>
  <si>
    <t>Jahid</t>
  </si>
  <si>
    <t>Die Change</t>
  </si>
  <si>
    <t>Sprey clean</t>
  </si>
  <si>
    <t>Sohel Dab</t>
  </si>
  <si>
    <t>Arsad</t>
  </si>
  <si>
    <t>Date:03.09.25 shift-A</t>
  </si>
  <si>
    <t>Cutter Problem(M=01) &amp; Die Clean</t>
  </si>
  <si>
    <t>Sample Making</t>
  </si>
  <si>
    <t>Mosarof</t>
  </si>
  <si>
    <t>Water Pump Problem(M=01) &amp; Die Clean</t>
  </si>
  <si>
    <t>Cutter Problem(E=0.5)</t>
  </si>
  <si>
    <t>Date:03.09.25 shift-B</t>
  </si>
  <si>
    <t>Belling problem(M=1.5)</t>
  </si>
  <si>
    <t>Thread cutting mc problem(M=2)</t>
  </si>
  <si>
    <t>Die clean</t>
  </si>
  <si>
    <t>Saizer</t>
  </si>
  <si>
    <t>Date:01.09.25 shift-A</t>
  </si>
  <si>
    <t>NO Demand</t>
  </si>
  <si>
    <t>Majadul</t>
  </si>
  <si>
    <t>Previous Cush</t>
  </si>
  <si>
    <t>Kisno</t>
  </si>
  <si>
    <t>Hall off Problem M-5 h</t>
  </si>
  <si>
    <t>Sohel Dev</t>
  </si>
  <si>
    <t>Masud</t>
  </si>
  <si>
    <t>Economy- White</t>
  </si>
  <si>
    <t>Rubel</t>
  </si>
  <si>
    <t>Cooling vaccump Problem E-1.5 h</t>
  </si>
  <si>
    <t>jahid</t>
  </si>
  <si>
    <t>Die Clean &amp; Cooling Spray Problem</t>
  </si>
  <si>
    <t>Printer poblem -1 h</t>
  </si>
  <si>
    <t>Date:01.09.25 shift-B</t>
  </si>
  <si>
    <t>Die cheange</t>
  </si>
  <si>
    <t>Die cheange,cutter problem(m=1)</t>
  </si>
  <si>
    <t>Jahanggir</t>
  </si>
  <si>
    <t>Heat and screw start,vent v vaccuam(m=1)</t>
  </si>
  <si>
    <t>Anis</t>
  </si>
  <si>
    <t>Saihider</t>
  </si>
  <si>
    <t>Cooling vaccump Problem E-12h</t>
  </si>
  <si>
    <t>Date:02.09.25 shift-A</t>
  </si>
  <si>
    <t>Mazidul</t>
  </si>
  <si>
    <t>Vacuum Pump Problem(M=02)</t>
  </si>
  <si>
    <t>Cutter /Haul-of &amp; Colling Tank problem(M=03/E=02) Then Die Clean</t>
  </si>
  <si>
    <t>110mm Dia Upvc Filter pipe ISO-2</t>
  </si>
  <si>
    <t>Date:02.09.25 shift-B</t>
  </si>
  <si>
    <t>Mc runing</t>
  </si>
  <si>
    <t>Belling problem(M=1)</t>
  </si>
  <si>
    <t>Heat and screw start</t>
  </si>
  <si>
    <t>Item cheange</t>
  </si>
  <si>
    <t>Heat and screw start,water problem=5h</t>
  </si>
  <si>
    <t>Date:04.09.25 shift-A</t>
  </si>
  <si>
    <t>Mazedul</t>
  </si>
  <si>
    <t>Water Problem</t>
  </si>
  <si>
    <t>Thread Cutting M/C Problem(M=10)</t>
  </si>
  <si>
    <t>Haul-of Problem(M-5)</t>
  </si>
  <si>
    <t>Date:04.09.25 shift-B</t>
  </si>
  <si>
    <t>Cooling tank water in/out problem(M=1)</t>
  </si>
  <si>
    <t>Dalower</t>
  </si>
  <si>
    <t>Date:05.09.25 shift-A</t>
  </si>
  <si>
    <t>12 Inch Dia Upvc Filter Class-D</t>
  </si>
  <si>
    <t>Grey</t>
  </si>
  <si>
    <t>SBS-Grey</t>
  </si>
  <si>
    <t>Die Heater Problem &amp; Running m/c Stop(E-2.5)</t>
  </si>
  <si>
    <t>Thread Cutting M/C Problem(E=11)</t>
  </si>
  <si>
    <t>Thread-Green</t>
  </si>
  <si>
    <t>Heat Run &amp; Water Problem=01</t>
  </si>
  <si>
    <t>Die Clean &amp; Water &amp; Vacuum pump Problem(W-01/E-01)</t>
  </si>
  <si>
    <t>Printer Problem</t>
  </si>
  <si>
    <t>Date:05.09.25 shift-B</t>
  </si>
  <si>
    <t>Heat and screw start,Haul off problem(E+M=6)</t>
  </si>
  <si>
    <t>Thread Cutting M/C Problem(E=5)</t>
  </si>
  <si>
    <t>Haul off and cutter problem(E=1)</t>
  </si>
  <si>
    <t>Haul-of Problem(E-04)</t>
  </si>
  <si>
    <t>Cooling Tank &amp; Cutter Water Pump Problem(E=1.5/M-0.5)</t>
  </si>
  <si>
    <t>Colour Change</t>
  </si>
  <si>
    <t>Vacuun Pimp Problem (E-01/M-01)</t>
  </si>
  <si>
    <t>Date:06.09.25 shift-B</t>
  </si>
  <si>
    <t>Bakkar</t>
  </si>
  <si>
    <t>Sprey problem</t>
  </si>
  <si>
    <t>Alamin</t>
  </si>
  <si>
    <t>Jahangir</t>
  </si>
  <si>
    <t>Daloyar</t>
  </si>
  <si>
    <t>Vacuum Pump &amp; Belling Problem(E-02/M-06)</t>
  </si>
  <si>
    <t>Sha Alom</t>
  </si>
  <si>
    <t>Azizul</t>
  </si>
  <si>
    <t>Sample Making &amp; Die Change</t>
  </si>
  <si>
    <t>Heat Run</t>
  </si>
  <si>
    <t>Date:06.09.25 shift-C</t>
  </si>
  <si>
    <t>Majedul</t>
  </si>
  <si>
    <t>Haul off problem(M+E=5)</t>
  </si>
  <si>
    <t>Sohel dev</t>
  </si>
  <si>
    <t>Belling water problem=1</t>
  </si>
  <si>
    <t>Sobuj</t>
  </si>
  <si>
    <t>Date:07.09.25 shift-A</t>
  </si>
  <si>
    <t>Houl-off problem M-8 Die change</t>
  </si>
  <si>
    <t>Cutter a problem(E=1)</t>
  </si>
  <si>
    <t xml:space="preserve">Sample Making </t>
  </si>
  <si>
    <t>Date:07.09.25 shift-B</t>
  </si>
  <si>
    <t>Sohel dav</t>
  </si>
  <si>
    <t>Cutter problem(M=1)</t>
  </si>
  <si>
    <t>Mosaruf</t>
  </si>
  <si>
    <t>Die cheange,Die heater let</t>
  </si>
  <si>
    <t>Arsadul</t>
  </si>
  <si>
    <t>Cutter problem(E=1)</t>
  </si>
  <si>
    <t>Date:08.09.25 shift-A</t>
  </si>
  <si>
    <t>Previous Crush</t>
  </si>
  <si>
    <t>Floor Development Work</t>
  </si>
  <si>
    <t>Shaizer</t>
  </si>
  <si>
    <t>Cutter Problem M-1 h</t>
  </si>
  <si>
    <t>NBS-Grey</t>
  </si>
  <si>
    <t>vent vaccump Pump Problem M-2 H &amp; Run</t>
  </si>
  <si>
    <t>Delower</t>
  </si>
  <si>
    <t>Cooling vaccump Problem E-0.5 h &amp; printer Problem -1 h</t>
  </si>
  <si>
    <t>Ajijul</t>
  </si>
  <si>
    <t>Die change</t>
  </si>
  <si>
    <t>Cutter Problem M-5 h</t>
  </si>
  <si>
    <t>Date:08.09.25 shift-B</t>
  </si>
  <si>
    <t>Feder motor trip(E=2),belling problem(M=2)</t>
  </si>
  <si>
    <t>Rubal</t>
  </si>
  <si>
    <t>Cooling vaccump Problem M-2 h ,Die clean</t>
  </si>
  <si>
    <t>Date:09.09.25 shift-A</t>
  </si>
  <si>
    <t>jahangir</t>
  </si>
  <si>
    <t>Feeder problem E-1 h</t>
  </si>
  <si>
    <t>heater Poblem E-1 h &amp; Belling Problem M-3 h</t>
  </si>
  <si>
    <t>Shalom</t>
  </si>
  <si>
    <t>Thread Cutting M/c Problem-M-5 h</t>
  </si>
  <si>
    <t>NBS</t>
  </si>
  <si>
    <t>Die Change-2 h &amp; sample making &amp; Die Clean</t>
  </si>
  <si>
    <t xml:space="preserve">Die Clean </t>
  </si>
  <si>
    <t>No Demand &amp; Heat &amp; Run</t>
  </si>
  <si>
    <t>printer Problem</t>
  </si>
  <si>
    <t>Date:09.09.25 shift-B</t>
  </si>
  <si>
    <t>Power Problem</t>
  </si>
  <si>
    <t>Die Change &amp; Power Problem</t>
  </si>
  <si>
    <t>Belling Problem(M=03) &amp; Power Problem</t>
  </si>
  <si>
    <t>Thread Cutting M/C Problem(M=7) &amp; Power Prob</t>
  </si>
  <si>
    <t>Die Change Then Haul-of &amp; Cutter Problem(E/M-05) &amp; Power Problem</t>
  </si>
  <si>
    <t/>
  </si>
  <si>
    <t>Haul-of Problem (M=01) &amp; Power Problem</t>
  </si>
  <si>
    <t>Sujon-2</t>
  </si>
  <si>
    <t>Die Clean &amp; Power Problem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</si>
</sst>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(* #,##0.00_);_(* \(#,##0.00\);_(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0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2" fillId="2" borderId="0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left" vertical="center"/>
    </xf>
    <xf numFmtId="0" fontId="2" fillId="0" borderId="0" xfId="0" applyFont="1" applyBorder="1" applyAlignment="1"/>
    <xf numFmtId="0" fontId="2" fillId="0" borderId="0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3" fillId="2" borderId="1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NumberFormat="1" applyFont="1" applyFill="1" applyBorder="1" applyAlignment="1">
      <alignment horizontal="center" vertical="center" wrapText="1"/>
    </xf>
    <xf numFmtId="43" fontId="2" fillId="2" borderId="1" xfId="1" applyFont="1" applyFill="1" applyBorder="1" applyAlignment="1">
      <alignment horizontal="left" vertical="center"/>
    </xf>
    <xf numFmtId="43" fontId="2" fillId="2" borderId="1" xfId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2" fontId="2" fillId="2" borderId="1" xfId="0" applyNumberFormat="1" applyFont="1" applyFill="1" applyBorder="1" applyAlignment="1">
      <alignment horizontal="center" vertical="center"/>
    </xf>
    <xf numFmtId="9" fontId="2" fillId="2" borderId="1" xfId="0" applyNumberFormat="1" applyFont="1" applyFill="1" applyBorder="1" applyAlignment="1">
      <alignment horizontal="center" vertical="center"/>
    </xf>
    <xf numFmtId="9" fontId="2" fillId="2" borderId="1" xfId="2" applyFont="1" applyFill="1" applyBorder="1" applyAlignment="1">
      <alignment horizontal="center" vertical="center"/>
    </xf>
    <xf numFmtId="2" fontId="3" fillId="2" borderId="1" xfId="0" applyNumberFormat="1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2" borderId="1" xfId="0" quotePrefix="1" applyFont="1" applyFill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 vertical="center" wrapText="1"/>
    </xf>
    <xf numFmtId="2" fontId="3" fillId="2" borderId="2" xfId="0" applyNumberFormat="1" applyFont="1" applyFill="1" applyBorder="1" applyAlignment="1">
      <alignment horizontal="center" vertical="center" wrapText="1"/>
    </xf>
    <xf numFmtId="2" fontId="3" fillId="2" borderId="3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9" fontId="2" fillId="2" borderId="2" xfId="2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2" fontId="3" fillId="2" borderId="2" xfId="0" applyNumberFormat="1" applyFont="1" applyFill="1" applyBorder="1" applyAlignment="1">
      <alignment horizontal="center" vertical="center" wrapText="1"/>
    </xf>
    <xf numFmtId="2" fontId="3" fillId="2" borderId="3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9" fontId="2" fillId="2" borderId="2" xfId="2" applyFont="1" applyFill="1" applyBorder="1" applyAlignment="1">
      <alignment horizontal="center" vertical="center"/>
    </xf>
    <xf numFmtId="9" fontId="2" fillId="2" borderId="3" xfId="2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vertical="center" wrapText="1"/>
    </xf>
    <xf numFmtId="10" fontId="2" fillId="2" borderId="1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9" fontId="2" fillId="2" borderId="4" xfId="2" applyFont="1" applyFill="1" applyBorder="1" applyAlignment="1">
      <alignment horizontal="center" vertical="center"/>
    </xf>
    <xf numFmtId="2" fontId="3" fillId="2" borderId="4" xfId="0" applyNumberFormat="1" applyFont="1" applyFill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 vertical="center" wrapText="1"/>
    </xf>
    <xf numFmtId="0" fontId="0" fillId="0" borderId="3" xfId="0" applyFont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 wrapText="1"/>
    </xf>
    <xf numFmtId="0" fontId="2" fillId="0" borderId="1" xfId="0" applyNumberFormat="1" applyFont="1" applyBorder="1" applyAlignment="1">
      <alignment horizontal="left" vertical="center" wrapText="1"/>
    </xf>
    <xf numFmtId="0" fontId="2" fillId="0" borderId="1" xfId="0" applyFont="1" applyBorder="1" applyAlignment="1">
      <alignment horizontal="center"/>
    </xf>
    <xf numFmtId="9" fontId="2" fillId="2" borderId="1" xfId="2" applyFont="1" applyFill="1" applyBorder="1" applyAlignment="1">
      <alignment vertical="center"/>
    </xf>
    <xf numFmtId="0" fontId="2" fillId="0" borderId="0" xfId="0" applyFont="1" applyBorder="1" applyAlignment="1">
      <alignment wrapText="1"/>
    </xf>
    <xf numFmtId="0" fontId="2" fillId="0" borderId="0" xfId="0" applyFont="1" applyBorder="1" applyAlignment="1">
      <alignment horizontal="center" wrapText="1"/>
    </xf>
    <xf numFmtId="0" fontId="2" fillId="2" borderId="0" xfId="0" applyFont="1" applyFill="1" applyBorder="1" applyAlignment="1">
      <alignment horizontal="left" vertical="center" wrapText="1"/>
    </xf>
    <xf numFmtId="0" fontId="2" fillId="0" borderId="0" xfId="0" applyFont="1" applyBorder="1" applyAlignment="1">
      <alignment horizontal="center" vertical="center" wrapText="1"/>
    </xf>
    <xf numFmtId="43" fontId="2" fillId="2" borderId="1" xfId="1" applyFont="1" applyFill="1" applyBorder="1" applyAlignment="1">
      <alignment horizontal="left" vertical="center" wrapText="1"/>
    </xf>
    <xf numFmtId="43" fontId="2" fillId="2" borderId="1" xfId="1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 wrapText="1"/>
    </xf>
    <xf numFmtId="9" fontId="2" fillId="2" borderId="1" xfId="2" applyFont="1" applyFill="1" applyBorder="1" applyAlignment="1">
      <alignment horizontal="center" vertical="center" wrapText="1"/>
    </xf>
    <xf numFmtId="9" fontId="2" fillId="2" borderId="1" xfId="0" applyNumberFormat="1" applyFont="1" applyFill="1" applyBorder="1" applyAlignment="1">
      <alignment horizontal="center" vertical="center" wrapText="1"/>
    </xf>
    <xf numFmtId="9" fontId="2" fillId="2" borderId="2" xfId="2" applyFont="1" applyFill="1" applyBorder="1" applyAlignment="1">
      <alignment horizontal="center" vertical="center" wrapText="1"/>
    </xf>
    <xf numFmtId="9" fontId="2" fillId="2" borderId="4" xfId="2" applyFont="1" applyFill="1" applyBorder="1" applyAlignment="1">
      <alignment horizontal="center" vertical="center" wrapText="1"/>
    </xf>
    <xf numFmtId="9" fontId="2" fillId="2" borderId="3" xfId="2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quotePrefix="1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wrapText="1"/>
    </xf>
    <xf numFmtId="0" fontId="2" fillId="0" borderId="2" xfId="0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center" vertical="center" wrapText="1"/>
    </xf>
    <xf numFmtId="9" fontId="2" fillId="2" borderId="2" xfId="2" applyFont="1" applyFill="1" applyBorder="1" applyAlignment="1">
      <alignment horizontal="center" vertical="center" wrapText="1"/>
    </xf>
    <xf numFmtId="2" fontId="2" fillId="0" borderId="1" xfId="0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0" borderId="4" xfId="0" applyFont="1" applyFill="1" applyBorder="1" applyAlignment="1">
      <alignment horizontal="center" vertical="center" wrapText="1"/>
    </xf>
    <xf numFmtId="9" fontId="2" fillId="2" borderId="1" xfId="2" applyFont="1" applyFill="1" applyBorder="1" applyAlignment="1">
      <alignment vertical="center" wrapText="1"/>
    </xf>
    <xf numFmtId="0" fontId="2" fillId="0" borderId="3" xfId="0" applyFont="1" applyFill="1" applyBorder="1" applyAlignment="1">
      <alignment horizontal="center" vertical="center" wrapText="1"/>
    </xf>
    <xf numFmtId="2" fontId="3" fillId="2" borderId="2" xfId="0" applyNumberFormat="1" applyFont="1" applyFill="1" applyBorder="1" applyAlignment="1">
      <alignment vertical="center" wrapText="1"/>
    </xf>
    <xf numFmtId="2" fontId="3" fillId="2" borderId="3" xfId="0" applyNumberFormat="1" applyFont="1" applyFill="1" applyBorder="1" applyAlignment="1">
      <alignment vertical="center" wrapText="1"/>
    </xf>
  </cellXfs>
  <cellStyles count="3">
    <cellStyle name="Comma" xfId="1" builtinId="3"/>
    <cellStyle name="Normal" xfId="0" builtinId="0"/>
    <cellStyle name="Percent" xfId="2" builtinId="5"/>
  </cellStyles>
  <dxfs count="3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3.xml"/><Relationship Id="rId27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AOPL%20Pipe\AOPL%20Production%20Pipe\Imam\Production%20Plan%20vs%20Achive\2025\June-2025\AOPL%20Sales%20and%20Production%20Plan%20vs%20Actual-June-2025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Imam/Production%20Plan%20vs%20Achive/2025/Jan-2025/AOPL%20Sales%20and%20Production%20Plan%20vs%20Actual-Jan-2025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AOPL%20Production%20Pipe\Imam\All%20File%20Production\Weight%20Li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pvc Pipe sales (2)"/>
      <sheetName val="Master File (2)"/>
      <sheetName val="Jan"/>
      <sheetName val="Pipe (2)"/>
      <sheetName val="Pipe"/>
      <sheetName val="Production Plan "/>
      <sheetName val="Sheet15"/>
      <sheetName val="Sheet16"/>
      <sheetName val="Sheet13"/>
      <sheetName val="Sheet"/>
      <sheetName val="Sheet3"/>
      <sheetName val="Sheet1"/>
      <sheetName val="Sheet2"/>
      <sheetName val="Noter Sheet"/>
      <sheetName val="Sheet4"/>
      <sheetName val="Sheet6"/>
      <sheetName val="Sheet7"/>
      <sheetName val="Note Sheet"/>
      <sheetName val="Sheet8"/>
      <sheetName val="Sheet5"/>
      <sheetName val="Sheet10"/>
      <sheetName val="Sheet9"/>
      <sheetName val="Sheet11"/>
      <sheetName val="Sheet14"/>
      <sheetName val="Sheet1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1">
          <cell r="B1">
            <v>0</v>
          </cell>
          <cell r="C1" t="str">
            <v>Sales &amp; Production Projection : AOPL(uPVCPipe) Unit-1</v>
          </cell>
          <cell r="D1">
            <v>0</v>
          </cell>
          <cell r="E1">
            <v>0</v>
          </cell>
          <cell r="F1">
            <v>0</v>
          </cell>
        </row>
        <row r="2">
          <cell r="B2">
            <v>0</v>
          </cell>
          <cell r="C2" t="str">
            <v>June</v>
          </cell>
          <cell r="D2">
            <v>0</v>
          </cell>
          <cell r="E2">
            <v>0</v>
          </cell>
          <cell r="F2">
            <v>0</v>
          </cell>
        </row>
        <row r="3">
          <cell r="B3" t="str">
            <v>Item Code</v>
          </cell>
          <cell r="C3" t="str">
            <v>Product Name</v>
          </cell>
          <cell r="D3" t="str">
            <v>Thickness</v>
          </cell>
          <cell r="E3" t="str">
            <v>Length</v>
          </cell>
          <cell r="F3" t="str">
            <v xml:space="preserve">Weight </v>
          </cell>
        </row>
        <row r="4"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</row>
        <row r="5"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</row>
        <row r="6">
          <cell r="B6">
            <v>0</v>
          </cell>
          <cell r="C6" t="str">
            <v>BS Pipe</v>
          </cell>
          <cell r="D6">
            <v>0</v>
          </cell>
          <cell r="E6">
            <v>0</v>
          </cell>
          <cell r="F6">
            <v>0</v>
          </cell>
        </row>
        <row r="7">
          <cell r="B7">
            <v>11102</v>
          </cell>
          <cell r="C7" t="str">
            <v>0.5 Inch Dia Upvc Pipe Class-D</v>
          </cell>
          <cell r="D7" t="str">
            <v>1.3-1.4</v>
          </cell>
          <cell r="E7">
            <v>10</v>
          </cell>
          <cell r="F7">
            <v>0.48</v>
          </cell>
        </row>
        <row r="8">
          <cell r="B8">
            <v>11101</v>
          </cell>
          <cell r="C8" t="str">
            <v>0.5 Inch Dia UPVC Pipe Class-E</v>
          </cell>
          <cell r="D8" t="str">
            <v>1.7-2.1</v>
          </cell>
          <cell r="E8">
            <v>10</v>
          </cell>
          <cell r="F8">
            <v>0.61</v>
          </cell>
        </row>
        <row r="9">
          <cell r="B9">
            <v>11103</v>
          </cell>
          <cell r="C9" t="str">
            <v>0.75 Inch Dia Upvc Pipe Class-D</v>
          </cell>
          <cell r="D9" t="str">
            <v>1.4-1.5</v>
          </cell>
          <cell r="E9">
            <v>10</v>
          </cell>
          <cell r="F9">
            <v>0.6</v>
          </cell>
        </row>
        <row r="10">
          <cell r="B10">
            <v>11104</v>
          </cell>
          <cell r="C10" t="str">
            <v>0.75 Inch Dia UPVC Pipe Class-E</v>
          </cell>
          <cell r="D10" t="str">
            <v>1.9-2.5</v>
          </cell>
          <cell r="E10">
            <v>10</v>
          </cell>
          <cell r="F10">
            <v>0.85</v>
          </cell>
        </row>
        <row r="11">
          <cell r="B11">
            <v>11105</v>
          </cell>
          <cell r="C11" t="str">
            <v>1 Inch Dia Upvc Pipe Class-D</v>
          </cell>
          <cell r="D11" t="str">
            <v>1.6-1.7</v>
          </cell>
          <cell r="E11">
            <v>10</v>
          </cell>
          <cell r="F11">
            <v>0.85</v>
          </cell>
        </row>
        <row r="12">
          <cell r="B12">
            <v>11106</v>
          </cell>
          <cell r="C12" t="str">
            <v>1 Inch Dia UPVC Pipe Class-E</v>
          </cell>
          <cell r="D12" t="str">
            <v>2.2-2.7</v>
          </cell>
          <cell r="E12">
            <v>10</v>
          </cell>
          <cell r="F12">
            <v>1.38</v>
          </cell>
        </row>
        <row r="13">
          <cell r="B13">
            <v>11107</v>
          </cell>
          <cell r="C13" t="str">
            <v>1.25 Inch Dia UPVC Pipe Class-D</v>
          </cell>
          <cell r="D13" t="str">
            <v>2.2-2.7</v>
          </cell>
          <cell r="E13">
            <v>15</v>
          </cell>
          <cell r="F13">
            <v>2.2000000000000002</v>
          </cell>
        </row>
        <row r="14">
          <cell r="B14">
            <v>13186</v>
          </cell>
          <cell r="C14" t="str">
            <v>1.25 Inch Dia UPVC Pipe Class-E</v>
          </cell>
          <cell r="D14" t="str">
            <v>2.7-3.2</v>
          </cell>
          <cell r="E14">
            <v>15</v>
          </cell>
          <cell r="F14">
            <v>2.8</v>
          </cell>
        </row>
        <row r="15">
          <cell r="B15">
            <v>11122</v>
          </cell>
          <cell r="C15" t="str">
            <v>1.5 Inch Dia Upvc Pipe Class D-SP ( Grey)</v>
          </cell>
          <cell r="D15" t="str">
            <v>2.5-3.0</v>
          </cell>
          <cell r="E15">
            <v>15</v>
          </cell>
          <cell r="F15">
            <v>2.85</v>
          </cell>
        </row>
        <row r="16">
          <cell r="B16">
            <v>13346</v>
          </cell>
          <cell r="C16" t="str">
            <v>1.5 Inch Dia Upvc Pipe Class D-SP ( Grey)(S)</v>
          </cell>
          <cell r="D16" t="str">
            <v>2.2-2.5</v>
          </cell>
          <cell r="E16">
            <v>15</v>
          </cell>
          <cell r="F16">
            <v>2.75</v>
          </cell>
        </row>
        <row r="17">
          <cell r="B17">
            <v>13281</v>
          </cell>
          <cell r="C17" t="str">
            <v>1.5 Inch Dia Upvc Pipe Class D ( Grey) As Like BS</v>
          </cell>
          <cell r="D17" t="str">
            <v>2.5-3.0</v>
          </cell>
          <cell r="E17">
            <v>15</v>
          </cell>
          <cell r="F17">
            <v>2.85</v>
          </cell>
        </row>
        <row r="18">
          <cell r="B18">
            <v>11121</v>
          </cell>
          <cell r="C18" t="str">
            <v>1.5 Inch Dia Upvc Pipe Class D-SP (White)</v>
          </cell>
          <cell r="D18" t="str">
            <v>2.5-3.0</v>
          </cell>
          <cell r="E18">
            <v>15</v>
          </cell>
          <cell r="F18">
            <v>2.85</v>
          </cell>
        </row>
        <row r="19">
          <cell r="B19">
            <v>13246</v>
          </cell>
          <cell r="C19" t="str">
            <v xml:space="preserve">1.5 Inch Dia Upvc Pipe Class D-SP (White) As Like BS </v>
          </cell>
          <cell r="D19" t="str">
            <v>2.5-3.3</v>
          </cell>
          <cell r="E19">
            <v>15</v>
          </cell>
          <cell r="F19">
            <v>2.85</v>
          </cell>
        </row>
        <row r="20">
          <cell r="B20">
            <v>13345</v>
          </cell>
          <cell r="C20" t="str">
            <v>1.5 Inch Dia Upvc Pipe Class D-SP (White)(S)</v>
          </cell>
          <cell r="D20" t="str">
            <v>2.2-2.5</v>
          </cell>
          <cell r="E20">
            <v>15</v>
          </cell>
          <cell r="F20">
            <v>2.75</v>
          </cell>
        </row>
        <row r="21">
          <cell r="B21">
            <v>13397</v>
          </cell>
          <cell r="C21" t="str">
            <v>1.5 Inch Dia Upvc Pipe Class D-SP (Br)</v>
          </cell>
          <cell r="D21" t="str">
            <v>2.5-2.6</v>
          </cell>
          <cell r="E21">
            <v>15</v>
          </cell>
          <cell r="F21">
            <v>2.85</v>
          </cell>
        </row>
        <row r="22">
          <cell r="B22">
            <v>11124</v>
          </cell>
          <cell r="C22" t="str">
            <v>1.5 Inch Dia Upvc Pipe Class Special - SP (Grey)</v>
          </cell>
          <cell r="D22" t="str">
            <v>1.8-1.9</v>
          </cell>
          <cell r="E22">
            <v>15</v>
          </cell>
          <cell r="F22">
            <v>2.2000000000000002</v>
          </cell>
        </row>
        <row r="23">
          <cell r="B23">
            <v>11123</v>
          </cell>
          <cell r="C23" t="str">
            <v>1.5 Inch Dia Upvc Pipe Class Special - SP (White)</v>
          </cell>
          <cell r="D23" t="str">
            <v>1.8-1.9</v>
          </cell>
          <cell r="E23">
            <v>15</v>
          </cell>
          <cell r="F23">
            <v>2.2000000000000002</v>
          </cell>
        </row>
        <row r="24">
          <cell r="B24">
            <v>11113</v>
          </cell>
          <cell r="C24" t="str">
            <v>1.5 Inch Dia UPVC Pipe Class-D</v>
          </cell>
          <cell r="D24" t="str">
            <v>2.5-3.0</v>
          </cell>
          <cell r="E24">
            <v>15</v>
          </cell>
          <cell r="F24">
            <v>2.65</v>
          </cell>
        </row>
        <row r="25">
          <cell r="B25">
            <v>12086</v>
          </cell>
          <cell r="C25" t="str">
            <v>1.5 Inch Dia Upvc Pipe Class-D (White)</v>
          </cell>
          <cell r="D25" t="str">
            <v>2.5-3.0</v>
          </cell>
          <cell r="E25">
            <v>15</v>
          </cell>
          <cell r="F25">
            <v>2.65</v>
          </cell>
        </row>
        <row r="26">
          <cell r="B26">
            <v>12504</v>
          </cell>
          <cell r="C26" t="str">
            <v>1.5 Inch Dia UPVC Pipe Class-E</v>
          </cell>
          <cell r="D26" t="str">
            <v>3.1-3.7</v>
          </cell>
          <cell r="E26">
            <v>15</v>
          </cell>
          <cell r="F26">
            <v>3.7</v>
          </cell>
        </row>
        <row r="27">
          <cell r="B27">
            <v>11108</v>
          </cell>
          <cell r="C27" t="str">
            <v>1.5 Inch Dia UPVC Pipe Class-Economy</v>
          </cell>
          <cell r="D27" t="str">
            <v>1.5-1.7</v>
          </cell>
          <cell r="E27">
            <v>15</v>
          </cell>
          <cell r="F27">
            <v>1.8</v>
          </cell>
        </row>
        <row r="28">
          <cell r="B28">
            <v>13359</v>
          </cell>
          <cell r="C28" t="str">
            <v>uPVC Pipe 1.5 Inch x 15 Ft Class-Economy (S)</v>
          </cell>
          <cell r="D28" t="str">
            <v>1.3-1.5</v>
          </cell>
          <cell r="E28">
            <v>15</v>
          </cell>
          <cell r="F28">
            <v>1.72</v>
          </cell>
        </row>
        <row r="29">
          <cell r="B29">
            <v>13360</v>
          </cell>
          <cell r="C29" t="str">
            <v>uPVC Pipe 1.5 Inch x 15 Ft Class-Special (S)</v>
          </cell>
          <cell r="D29" t="str">
            <v>1.8-1.9</v>
          </cell>
          <cell r="E29">
            <v>15</v>
          </cell>
          <cell r="F29">
            <v>2.2799999999999998</v>
          </cell>
        </row>
        <row r="30">
          <cell r="B30">
            <v>11116</v>
          </cell>
          <cell r="C30" t="str">
            <v>1.5 Inch Dia UPVC Pipe Class-Special</v>
          </cell>
          <cell r="D30" t="str">
            <v>1.8-1.9</v>
          </cell>
          <cell r="E30">
            <v>15</v>
          </cell>
          <cell r="F30">
            <v>2.2000000000000002</v>
          </cell>
        </row>
        <row r="31">
          <cell r="B31">
            <v>11120</v>
          </cell>
          <cell r="C31" t="str">
            <v>1.5 Inch Dia UPVC Pipe Class-Super</v>
          </cell>
          <cell r="D31" t="str">
            <v>2.2-2.3</v>
          </cell>
          <cell r="E31">
            <v>15</v>
          </cell>
          <cell r="F31">
            <v>2.2000000000000002</v>
          </cell>
        </row>
        <row r="32">
          <cell r="B32">
            <v>11130</v>
          </cell>
          <cell r="C32" t="str">
            <v>2 Inch Dia UPVC Pipe Class D</v>
          </cell>
          <cell r="D32" t="str">
            <v>3.1-3.3</v>
          </cell>
          <cell r="E32">
            <v>15</v>
          </cell>
          <cell r="F32">
            <v>4.0999999999999996</v>
          </cell>
        </row>
        <row r="33">
          <cell r="B33">
            <v>12968</v>
          </cell>
          <cell r="C33" t="str">
            <v>2 Inch Dia UPVC Pipe Class D Diamond</v>
          </cell>
          <cell r="D33" t="str">
            <v>3.1-3.3</v>
          </cell>
          <cell r="E33">
            <v>15</v>
          </cell>
          <cell r="F33">
            <v>4.0999999999999996</v>
          </cell>
        </row>
        <row r="34">
          <cell r="B34">
            <v>12992</v>
          </cell>
          <cell r="C34" t="str">
            <v>2 Inch Dia UPVC Pipe Class D Special</v>
          </cell>
          <cell r="D34" t="str">
            <v>3.1-3.3</v>
          </cell>
          <cell r="E34">
            <v>15</v>
          </cell>
          <cell r="F34">
            <v>4.0999999999999996</v>
          </cell>
        </row>
        <row r="35">
          <cell r="B35">
            <v>11128</v>
          </cell>
          <cell r="C35" t="str">
            <v>2 Inch Dia UPVC Pipe Class-C</v>
          </cell>
          <cell r="D35" t="str">
            <v>2.50-3.00</v>
          </cell>
          <cell r="E35">
            <v>15</v>
          </cell>
          <cell r="F35">
            <v>3.4</v>
          </cell>
        </row>
        <row r="36">
          <cell r="B36">
            <v>12736</v>
          </cell>
          <cell r="C36" t="str">
            <v>2 Inch Dia Upvc Pipe Class-E</v>
          </cell>
          <cell r="D36" t="str">
            <v>3.9-4.5</v>
          </cell>
          <cell r="E36">
            <v>15</v>
          </cell>
          <cell r="F36">
            <v>5.3</v>
          </cell>
        </row>
        <row r="37">
          <cell r="B37">
            <v>12974</v>
          </cell>
          <cell r="C37" t="str">
            <v>2 Inch Dia Upvc Pipe Class-E Diamond</v>
          </cell>
          <cell r="D37" t="str">
            <v>3.9-4.5</v>
          </cell>
          <cell r="E37">
            <v>15</v>
          </cell>
          <cell r="F37">
            <v>5.3</v>
          </cell>
        </row>
        <row r="38">
          <cell r="B38">
            <v>12994</v>
          </cell>
          <cell r="C38" t="str">
            <v>2 Inch Dia Upvc Pipe Class-E Special</v>
          </cell>
          <cell r="D38" t="str">
            <v>3.9-4.5</v>
          </cell>
          <cell r="E38">
            <v>15</v>
          </cell>
          <cell r="F38">
            <v>5.3</v>
          </cell>
        </row>
        <row r="39">
          <cell r="B39">
            <v>12536</v>
          </cell>
          <cell r="C39" t="str">
            <v>2 Inch Dia Upvc Pipe Star (Gray)</v>
          </cell>
          <cell r="D39" t="str">
            <v>2.5-2.8</v>
          </cell>
          <cell r="E39">
            <v>15</v>
          </cell>
          <cell r="F39">
            <v>4.0999999999999996</v>
          </cell>
        </row>
        <row r="40">
          <cell r="B40">
            <v>12955</v>
          </cell>
          <cell r="C40" t="str">
            <v>2 Inch Dia UPVC Pipe Supper</v>
          </cell>
          <cell r="D40">
            <v>0</v>
          </cell>
          <cell r="E40">
            <v>15</v>
          </cell>
          <cell r="F40">
            <v>3.8</v>
          </cell>
        </row>
        <row r="41">
          <cell r="B41">
            <v>11125</v>
          </cell>
          <cell r="C41" t="str">
            <v>2 Inch Dia Upvc Sanitary Pipe Special</v>
          </cell>
          <cell r="D41" t="str">
            <v>1.5-1.7</v>
          </cell>
          <cell r="E41">
            <v>15</v>
          </cell>
          <cell r="F41">
            <v>2.5</v>
          </cell>
        </row>
        <row r="42">
          <cell r="B42">
            <v>13315</v>
          </cell>
          <cell r="C42" t="str">
            <v>2.5 Inch Dia Upvc Pipe Class-C</v>
          </cell>
          <cell r="D42" t="str">
            <v>3.3-3.5</v>
          </cell>
          <cell r="E42">
            <v>20</v>
          </cell>
          <cell r="F42">
            <v>7.87</v>
          </cell>
        </row>
        <row r="43">
          <cell r="B43">
            <v>12579</v>
          </cell>
          <cell r="C43" t="str">
            <v>3 Inc Dia Pipe Class C-SPL</v>
          </cell>
          <cell r="D43" t="str">
            <v>2.9-3.4</v>
          </cell>
          <cell r="E43">
            <v>20</v>
          </cell>
          <cell r="F43">
            <v>9</v>
          </cell>
        </row>
        <row r="44">
          <cell r="B44">
            <v>13251</v>
          </cell>
          <cell r="C44" t="str">
            <v>3 Inc Dia Pipe Class C-SPL(3.0)</v>
          </cell>
          <cell r="D44">
            <v>3</v>
          </cell>
          <cell r="E44">
            <v>20</v>
          </cell>
          <cell r="F44">
            <v>8.4</v>
          </cell>
        </row>
        <row r="45">
          <cell r="B45">
            <v>13205</v>
          </cell>
          <cell r="C45" t="str">
            <v>3 Inc Dia Pipe Class D-Special</v>
          </cell>
          <cell r="D45" t="str">
            <v>4.6-5.3</v>
          </cell>
          <cell r="E45">
            <v>20</v>
          </cell>
          <cell r="F45">
            <v>11.8</v>
          </cell>
        </row>
        <row r="46">
          <cell r="B46">
            <v>11139</v>
          </cell>
          <cell r="C46" t="str">
            <v>3 Inch Dia UPVC Pipe Class D</v>
          </cell>
          <cell r="D46" t="str">
            <v>4.6-5.3</v>
          </cell>
          <cell r="E46">
            <v>19.68</v>
          </cell>
          <cell r="F46">
            <v>11.8</v>
          </cell>
        </row>
        <row r="47">
          <cell r="B47">
            <v>12100</v>
          </cell>
          <cell r="C47" t="str">
            <v>3 Inch Dia UPVC Pipe Class E</v>
          </cell>
          <cell r="D47" t="str">
            <v>5.7-6.6</v>
          </cell>
          <cell r="E47">
            <v>20</v>
          </cell>
          <cell r="F47">
            <v>16.5</v>
          </cell>
        </row>
        <row r="48">
          <cell r="B48">
            <v>11135</v>
          </cell>
          <cell r="C48" t="str">
            <v>3 Inch Dia UPVC Pipe Class-B</v>
          </cell>
          <cell r="D48" t="str">
            <v>2.9-3.4</v>
          </cell>
          <cell r="E48">
            <v>20</v>
          </cell>
          <cell r="F48">
            <v>7.8</v>
          </cell>
        </row>
        <row r="49">
          <cell r="B49">
            <v>11137</v>
          </cell>
          <cell r="C49" t="str">
            <v>3 Inch Dia UPVC Pipe Class-C</v>
          </cell>
          <cell r="D49" t="str">
            <v>3.5-4.1</v>
          </cell>
          <cell r="E49">
            <v>19.68</v>
          </cell>
          <cell r="F49">
            <v>9.5</v>
          </cell>
        </row>
        <row r="50">
          <cell r="B50">
            <v>11133</v>
          </cell>
          <cell r="C50" t="str">
            <v>3 Inch Dia Upvc Pipe-Star (2.7 Thickness)-15 Feet</v>
          </cell>
          <cell r="D50" t="str">
            <v>2.6-2.9</v>
          </cell>
          <cell r="E50">
            <v>15</v>
          </cell>
          <cell r="F50">
            <v>6</v>
          </cell>
        </row>
        <row r="51">
          <cell r="B51">
            <v>11132</v>
          </cell>
          <cell r="C51" t="str">
            <v>3 Inch Dia Upvc Pipe-Star (2.7 Thickness) - 20 Feet</v>
          </cell>
          <cell r="D51" t="str">
            <v>2.6-2.9</v>
          </cell>
          <cell r="E51">
            <v>20</v>
          </cell>
          <cell r="F51">
            <v>8</v>
          </cell>
        </row>
        <row r="52">
          <cell r="B52">
            <v>11126</v>
          </cell>
          <cell r="C52" t="str">
            <v>3 Inch Dia Upvc Sanitary Pipe Special</v>
          </cell>
          <cell r="D52" t="str">
            <v>1.6-1.8</v>
          </cell>
          <cell r="E52">
            <v>20</v>
          </cell>
          <cell r="F52">
            <v>4.5999999999999996</v>
          </cell>
        </row>
        <row r="53">
          <cell r="B53">
            <v>11202</v>
          </cell>
          <cell r="C53" t="str">
            <v>4 Inch Dia Class -C SPL</v>
          </cell>
          <cell r="D53" t="str">
            <v>4.5-5.2</v>
          </cell>
          <cell r="E53">
            <v>20</v>
          </cell>
          <cell r="F53">
            <v>16</v>
          </cell>
        </row>
        <row r="54">
          <cell r="B54">
            <v>13238</v>
          </cell>
          <cell r="C54" t="str">
            <v>4 Inch Dia Class -C SPL(4.50)</v>
          </cell>
          <cell r="D54">
            <v>4.5</v>
          </cell>
          <cell r="E54">
            <v>20</v>
          </cell>
          <cell r="F54">
            <v>15.5</v>
          </cell>
        </row>
        <row r="55">
          <cell r="B55">
            <v>11145</v>
          </cell>
          <cell r="C55" t="str">
            <v>4 Inch Dia UPVC Pipe Class-B</v>
          </cell>
          <cell r="D55" t="str">
            <v>3.4-4.0</v>
          </cell>
          <cell r="E55">
            <v>20</v>
          </cell>
          <cell r="F55">
            <v>11.8</v>
          </cell>
        </row>
        <row r="56">
          <cell r="B56">
            <v>11147</v>
          </cell>
          <cell r="C56" t="str">
            <v>4 Inch Dia UPVC Pipe Class-C</v>
          </cell>
          <cell r="D56" t="str">
            <v>4.5-5.2</v>
          </cell>
          <cell r="E56">
            <v>20</v>
          </cell>
          <cell r="F56">
            <v>15.3</v>
          </cell>
        </row>
        <row r="57">
          <cell r="B57">
            <v>11149</v>
          </cell>
          <cell r="C57" t="str">
            <v>4 Inch Dia UPVC Pipe Class-D</v>
          </cell>
          <cell r="D57" t="str">
            <v>6.0-6.9</v>
          </cell>
          <cell r="E57">
            <v>20</v>
          </cell>
          <cell r="F57">
            <v>19.600000000000001</v>
          </cell>
        </row>
        <row r="58">
          <cell r="B58">
            <v>12949</v>
          </cell>
          <cell r="C58" t="str">
            <v>4 Inch Dia UPVC Pipe Class-D Special</v>
          </cell>
          <cell r="D58" t="str">
            <v>6.0-6.9</v>
          </cell>
          <cell r="E58">
            <v>20</v>
          </cell>
          <cell r="F58">
            <v>20.399999999999999</v>
          </cell>
        </row>
        <row r="59">
          <cell r="B59">
            <v>11391</v>
          </cell>
          <cell r="C59" t="str">
            <v>4 Inch Dia UPVC Pipe Class-D SPL</v>
          </cell>
          <cell r="D59" t="str">
            <v>6.0-6.9</v>
          </cell>
          <cell r="E59">
            <v>20</v>
          </cell>
          <cell r="F59">
            <v>20</v>
          </cell>
        </row>
        <row r="60">
          <cell r="B60">
            <v>13249</v>
          </cell>
          <cell r="C60" t="str">
            <v>4 Inch Dia UPVC Pipe Class-D SPL As Like BS</v>
          </cell>
          <cell r="D60" t="str">
            <v>6.0-6.10</v>
          </cell>
          <cell r="E60" t="str">
            <v>6mtr</v>
          </cell>
          <cell r="F60">
            <v>20</v>
          </cell>
        </row>
        <row r="61">
          <cell r="B61">
            <v>12970</v>
          </cell>
          <cell r="C61" t="str">
            <v>4 Inch Dia UPVC Pipe Class-D SPL Diamond</v>
          </cell>
          <cell r="D61" t="str">
            <v>6.0-6.9</v>
          </cell>
          <cell r="E61">
            <v>20</v>
          </cell>
          <cell r="F61">
            <v>20.399999999999999</v>
          </cell>
        </row>
        <row r="62">
          <cell r="B62">
            <v>13241</v>
          </cell>
          <cell r="C62" t="str">
            <v>4 Inch Dia UPVC Pipe Class-D SPL(6.0)</v>
          </cell>
          <cell r="D62">
            <v>6</v>
          </cell>
          <cell r="E62">
            <v>20</v>
          </cell>
          <cell r="F62">
            <v>18.5</v>
          </cell>
        </row>
        <row r="63">
          <cell r="B63">
            <v>11151</v>
          </cell>
          <cell r="C63" t="str">
            <v>4 Inch Dia UPVC Pipe Class-E</v>
          </cell>
          <cell r="D63" t="str">
            <v>7.3-8.4</v>
          </cell>
          <cell r="E63">
            <v>20</v>
          </cell>
          <cell r="F63">
            <v>24.5</v>
          </cell>
        </row>
        <row r="64">
          <cell r="B64">
            <v>11141</v>
          </cell>
          <cell r="C64" t="str">
            <v>4 Inch Upvc Pipe Star (Gray 20 Ft )</v>
          </cell>
          <cell r="D64" t="str">
            <v>3.2-3.4</v>
          </cell>
          <cell r="E64">
            <v>20</v>
          </cell>
          <cell r="F64">
            <v>12.5</v>
          </cell>
        </row>
        <row r="65">
          <cell r="B65">
            <v>11153</v>
          </cell>
          <cell r="C65" t="str">
            <v>5 Inch Dia UPVC Pipe Class-B</v>
          </cell>
          <cell r="D65" t="str">
            <v>3.8-4.4</v>
          </cell>
          <cell r="E65">
            <v>20</v>
          </cell>
          <cell r="F65">
            <v>16.7</v>
          </cell>
        </row>
        <row r="66">
          <cell r="B66">
            <v>13564</v>
          </cell>
          <cell r="C66" t="str">
            <v>5 Inch Dia UPVC Pipe Class-B As Like Bs</v>
          </cell>
          <cell r="D66" t="str">
            <v>3.8-4.4</v>
          </cell>
          <cell r="E66">
            <v>20</v>
          </cell>
          <cell r="F66">
            <v>17.5</v>
          </cell>
        </row>
        <row r="67">
          <cell r="B67">
            <v>11155</v>
          </cell>
          <cell r="C67" t="str">
            <v>5 Inch Dia UPVC Pipe Class-C</v>
          </cell>
          <cell r="D67" t="str">
            <v>5.5-6.4</v>
          </cell>
          <cell r="E67">
            <v>20</v>
          </cell>
          <cell r="F67">
            <v>23.5</v>
          </cell>
        </row>
        <row r="68">
          <cell r="B68">
            <v>13615</v>
          </cell>
          <cell r="C68" t="str">
            <v>5 Inch Dia UPVC Pipe Class-C (N)</v>
          </cell>
          <cell r="D68" t="str">
            <v>5.5-6.4</v>
          </cell>
          <cell r="E68">
            <v>20</v>
          </cell>
          <cell r="F68">
            <v>24</v>
          </cell>
        </row>
        <row r="69">
          <cell r="B69">
            <v>11157</v>
          </cell>
          <cell r="C69" t="str">
            <v>5 Inch Dia Upvc Pipe Class-D</v>
          </cell>
          <cell r="D69" t="str">
            <v>7.3-8.4</v>
          </cell>
          <cell r="E69">
            <v>20</v>
          </cell>
          <cell r="F69">
            <v>30.5</v>
          </cell>
        </row>
        <row r="70">
          <cell r="B70">
            <v>12950</v>
          </cell>
          <cell r="C70" t="str">
            <v>5 Inch Dia Upvc Pipe Class-D Special</v>
          </cell>
          <cell r="D70" t="str">
            <v>7.3-8.4</v>
          </cell>
          <cell r="E70">
            <v>20</v>
          </cell>
          <cell r="F70">
            <v>31</v>
          </cell>
        </row>
        <row r="71">
          <cell r="B71">
            <v>11200</v>
          </cell>
          <cell r="C71" t="str">
            <v>5 Inch Dia Upvc Pipe Class-D SPL</v>
          </cell>
          <cell r="D71" t="str">
            <v>7.3-8.5</v>
          </cell>
          <cell r="E71">
            <v>20</v>
          </cell>
          <cell r="F71">
            <v>31</v>
          </cell>
        </row>
        <row r="72">
          <cell r="B72">
            <v>12972</v>
          </cell>
          <cell r="C72" t="str">
            <v>5 Inch Dia Upvc Pipe Class-D SPL Diamond</v>
          </cell>
          <cell r="D72" t="str">
            <v>7.3-8.4</v>
          </cell>
          <cell r="E72">
            <v>20</v>
          </cell>
          <cell r="F72">
            <v>31</v>
          </cell>
        </row>
        <row r="73">
          <cell r="B73">
            <v>11159</v>
          </cell>
          <cell r="C73" t="str">
            <v>5 Inch Dia Upvc Pipe Class-E</v>
          </cell>
          <cell r="D73" t="str">
            <v>9.0-10.4</v>
          </cell>
          <cell r="E73">
            <v>20</v>
          </cell>
          <cell r="F73">
            <v>35</v>
          </cell>
        </row>
        <row r="74">
          <cell r="B74">
            <v>13430</v>
          </cell>
          <cell r="C74" t="str">
            <v>5 Inch Dia Upvc Pipe Class-E 1</v>
          </cell>
          <cell r="D74" t="str">
            <v>9.0-10.4</v>
          </cell>
          <cell r="E74" t="str">
            <v>6mtr</v>
          </cell>
          <cell r="F74">
            <v>37.4</v>
          </cell>
        </row>
        <row r="75">
          <cell r="B75">
            <v>11204</v>
          </cell>
          <cell r="C75" t="str">
            <v>5 Inch Dia Upvc Pipe-Star</v>
          </cell>
          <cell r="D75" t="str">
            <v>3.8-4.0</v>
          </cell>
          <cell r="E75">
            <v>20</v>
          </cell>
          <cell r="F75">
            <v>18.5</v>
          </cell>
        </row>
        <row r="76">
          <cell r="B76">
            <v>11127</v>
          </cell>
          <cell r="C76" t="str">
            <v>5 Inch Dia Upvc Sanitary Pipe Special</v>
          </cell>
          <cell r="D76" t="str">
            <v>1.9-2.3</v>
          </cell>
          <cell r="E76">
            <v>20</v>
          </cell>
          <cell r="F76">
            <v>10.5</v>
          </cell>
        </row>
        <row r="77">
          <cell r="B77">
            <v>11165</v>
          </cell>
          <cell r="C77" t="str">
            <v>6 Inch Dia UPVC Pipe Class- D</v>
          </cell>
          <cell r="D77" t="str">
            <v>8.8-10.2</v>
          </cell>
          <cell r="E77">
            <v>20</v>
          </cell>
          <cell r="F77">
            <v>43.8</v>
          </cell>
        </row>
        <row r="78">
          <cell r="B78">
            <v>11161</v>
          </cell>
          <cell r="C78" t="str">
            <v>6 Inch Dia UPVC Pipe Class-B</v>
          </cell>
          <cell r="D78" t="str">
            <v>4.5-5.2</v>
          </cell>
          <cell r="E78">
            <v>20</v>
          </cell>
          <cell r="F78">
            <v>23.5</v>
          </cell>
        </row>
        <row r="79">
          <cell r="B79">
            <v>13566</v>
          </cell>
          <cell r="C79" t="str">
            <v>6 Inch Dia UPVC Pipe Class-B As Like Bs</v>
          </cell>
          <cell r="D79" t="str">
            <v>4.3-4.6</v>
          </cell>
          <cell r="E79">
            <v>20</v>
          </cell>
          <cell r="F79">
            <v>20.8</v>
          </cell>
        </row>
        <row r="80">
          <cell r="B80">
            <v>11163</v>
          </cell>
          <cell r="C80" t="str">
            <v>6 Inch Dia UPVC Pipe Class-C</v>
          </cell>
          <cell r="D80" t="str">
            <v>6.6-7.6</v>
          </cell>
          <cell r="E80">
            <v>20</v>
          </cell>
          <cell r="F80">
            <v>32.5</v>
          </cell>
        </row>
        <row r="81">
          <cell r="B81">
            <v>11167</v>
          </cell>
          <cell r="C81" t="str">
            <v>6 Inch Dia UPVC Pipe Class-E</v>
          </cell>
          <cell r="D81" t="str">
            <v>10.8-12.5</v>
          </cell>
          <cell r="E81">
            <v>20</v>
          </cell>
          <cell r="F81">
            <v>51.5</v>
          </cell>
        </row>
        <row r="82">
          <cell r="B82">
            <v>13629</v>
          </cell>
          <cell r="C82" t="str">
            <v>6 Inch Dia UPVC Pipe Class-E 1</v>
          </cell>
          <cell r="D82" t="str">
            <v>10.8-12.5</v>
          </cell>
          <cell r="E82">
            <v>20</v>
          </cell>
          <cell r="F82">
            <v>53.4</v>
          </cell>
        </row>
        <row r="83">
          <cell r="B83">
            <v>13201</v>
          </cell>
          <cell r="C83" t="str">
            <v>6 Inch Dia UPVC Pipe Class-C Special</v>
          </cell>
          <cell r="D83" t="str">
            <v>6.6-7.6</v>
          </cell>
          <cell r="E83">
            <v>20</v>
          </cell>
          <cell r="F83">
            <v>32.5</v>
          </cell>
        </row>
        <row r="84">
          <cell r="B84">
            <v>12575</v>
          </cell>
          <cell r="C84" t="str">
            <v>8 Inc Dia Pipe Class C-SPL</v>
          </cell>
          <cell r="D84" t="str">
            <v>1.5-1.7</v>
          </cell>
          <cell r="E84">
            <v>20</v>
          </cell>
          <cell r="F84">
            <v>56</v>
          </cell>
        </row>
        <row r="85">
          <cell r="B85">
            <v>12197</v>
          </cell>
          <cell r="C85" t="str">
            <v>8 Inch Dia UPVC Pipe Cassing ( Grey) ( Thickness 5.0 - 5.20)</v>
          </cell>
          <cell r="D85" t="str">
            <v>1.5-1.7</v>
          </cell>
          <cell r="E85">
            <v>15</v>
          </cell>
          <cell r="F85">
            <v>37.5</v>
          </cell>
        </row>
        <row r="86">
          <cell r="B86">
            <v>11173</v>
          </cell>
          <cell r="C86" t="str">
            <v>8 Inch Dia Upvc Pipe Class D</v>
          </cell>
          <cell r="D86" t="str">
            <v>1.5-1.7</v>
          </cell>
          <cell r="E86">
            <v>20</v>
          </cell>
          <cell r="F86">
            <v>65.5</v>
          </cell>
        </row>
        <row r="87">
          <cell r="B87">
            <v>11169</v>
          </cell>
          <cell r="C87" t="str">
            <v>8 Inch Dia UPVC Pipe Class-B</v>
          </cell>
          <cell r="D87">
            <v>5.3</v>
          </cell>
          <cell r="E87">
            <v>20</v>
          </cell>
          <cell r="F87">
            <v>35</v>
          </cell>
        </row>
        <row r="88">
          <cell r="B88">
            <v>11171</v>
          </cell>
          <cell r="C88" t="str">
            <v>8 Inch Dia UPVC Pipe Class-C</v>
          </cell>
          <cell r="D88" t="str">
            <v>1.5-1.7</v>
          </cell>
          <cell r="E88">
            <v>20</v>
          </cell>
          <cell r="F88">
            <v>50</v>
          </cell>
        </row>
        <row r="89">
          <cell r="B89">
            <v>11175</v>
          </cell>
          <cell r="C89" t="str">
            <v>8 Inch Dia UPVC Pipe Class-E</v>
          </cell>
          <cell r="D89" t="str">
            <v>1.5-1.7</v>
          </cell>
          <cell r="E89">
            <v>20</v>
          </cell>
          <cell r="F89">
            <v>80</v>
          </cell>
        </row>
        <row r="90">
          <cell r="B90">
            <v>13225</v>
          </cell>
          <cell r="C90" t="str">
            <v>10 inch Dia Cassing Pipe (6.6 Thickness)</v>
          </cell>
          <cell r="D90" t="str">
            <v>3.2-3.4</v>
          </cell>
          <cell r="E90">
            <v>10</v>
          </cell>
          <cell r="F90">
            <v>62</v>
          </cell>
        </row>
        <row r="91">
          <cell r="B91">
            <v>11177</v>
          </cell>
          <cell r="C91" t="str">
            <v>10 Inch Dia Upvc Pipe Class -B</v>
          </cell>
          <cell r="D91" t="str">
            <v>3.2-3.4</v>
          </cell>
          <cell r="E91">
            <v>20</v>
          </cell>
          <cell r="F91">
            <v>55</v>
          </cell>
        </row>
        <row r="92">
          <cell r="B92">
            <v>11179</v>
          </cell>
          <cell r="C92" t="str">
            <v>10 Inch Dia UPVC Pipe Class- C</v>
          </cell>
          <cell r="D92" t="str">
            <v>3.2-3.4</v>
          </cell>
          <cell r="E92">
            <v>20</v>
          </cell>
          <cell r="F92">
            <v>78</v>
          </cell>
        </row>
        <row r="93">
          <cell r="B93">
            <v>11181</v>
          </cell>
          <cell r="C93" t="str">
            <v>10 Inch Dia Upvc Pipe Class D</v>
          </cell>
          <cell r="D93" t="str">
            <v>3.2-3.4</v>
          </cell>
          <cell r="E93">
            <v>20</v>
          </cell>
          <cell r="F93">
            <v>110</v>
          </cell>
        </row>
        <row r="94">
          <cell r="B94">
            <v>11182</v>
          </cell>
          <cell r="C94" t="str">
            <v>10 Inch Dia UPVC Pipe Class-E</v>
          </cell>
          <cell r="D94" t="str">
            <v>3.2-3.4</v>
          </cell>
          <cell r="E94">
            <v>20</v>
          </cell>
          <cell r="F94">
            <v>124</v>
          </cell>
        </row>
        <row r="95">
          <cell r="B95">
            <v>11184</v>
          </cell>
          <cell r="C95" t="str">
            <v>12 Inch Dia Upvc Pipe Class-B</v>
          </cell>
          <cell r="D95" t="str">
            <v>2.9-3.3</v>
          </cell>
          <cell r="E95">
            <v>20</v>
          </cell>
          <cell r="F95">
            <v>80</v>
          </cell>
        </row>
        <row r="96">
          <cell r="B96">
            <v>11186</v>
          </cell>
          <cell r="C96" t="str">
            <v>12 Inch Dia Upvc Pipe Class-C</v>
          </cell>
          <cell r="D96" t="str">
            <v>2.9-3.3</v>
          </cell>
          <cell r="E96">
            <v>20</v>
          </cell>
          <cell r="F96">
            <v>111</v>
          </cell>
        </row>
        <row r="97">
          <cell r="B97">
            <v>12503</v>
          </cell>
          <cell r="C97" t="str">
            <v>12 Inch Dia Upvc Pipe Class-D</v>
          </cell>
          <cell r="D97" t="str">
            <v>2.9-3.3</v>
          </cell>
          <cell r="E97">
            <v>20</v>
          </cell>
          <cell r="F97">
            <v>160</v>
          </cell>
        </row>
        <row r="98">
          <cell r="B98">
            <v>11188</v>
          </cell>
          <cell r="C98" t="str">
            <v>12 Inch Dia Upvc Pipe Class-E</v>
          </cell>
          <cell r="D98" t="str">
            <v>2.9-3.3</v>
          </cell>
          <cell r="E98">
            <v>19.68</v>
          </cell>
          <cell r="F98">
            <v>184</v>
          </cell>
        </row>
        <row r="99">
          <cell r="B99">
            <v>12879</v>
          </cell>
          <cell r="C99" t="str">
            <v>12 Inch Dia Upvc Pipe Class-C (Mtr)</v>
          </cell>
          <cell r="D99" t="str">
            <v>2.9-3.3</v>
          </cell>
          <cell r="E99">
            <v>6</v>
          </cell>
          <cell r="F99">
            <v>0</v>
          </cell>
        </row>
        <row r="100">
          <cell r="B100">
            <v>11190</v>
          </cell>
          <cell r="C100" t="str">
            <v>14 Inch Dia UPVC Pipe Class-B</v>
          </cell>
          <cell r="D100" t="str">
            <v>2.9-3.3</v>
          </cell>
          <cell r="E100">
            <v>20</v>
          </cell>
          <cell r="F100">
            <v>97.5</v>
          </cell>
        </row>
        <row r="101">
          <cell r="B101">
            <v>11191</v>
          </cell>
          <cell r="C101" t="str">
            <v>14 Inch Dia UPVC Pipe Class-C</v>
          </cell>
          <cell r="D101" t="str">
            <v>2.9-3.3</v>
          </cell>
          <cell r="E101">
            <v>20</v>
          </cell>
          <cell r="F101">
            <v>130</v>
          </cell>
        </row>
        <row r="102">
          <cell r="B102">
            <v>13273</v>
          </cell>
          <cell r="C102" t="str">
            <v>14 Inch Dia UPVC Pipe Class-D</v>
          </cell>
          <cell r="D102" t="str">
            <v>16.7-18.4</v>
          </cell>
          <cell r="E102">
            <v>19.68</v>
          </cell>
          <cell r="F102">
            <v>178</v>
          </cell>
        </row>
        <row r="103">
          <cell r="B103">
            <v>11193</v>
          </cell>
          <cell r="C103" t="str">
            <v>14 Inch Dia Upvc Pipe Class-E (ft)</v>
          </cell>
          <cell r="D103" t="str">
            <v>2.9-3.3</v>
          </cell>
          <cell r="E103">
            <v>20</v>
          </cell>
          <cell r="F103">
            <v>222</v>
          </cell>
        </row>
        <row r="104">
          <cell r="B104">
            <v>11197</v>
          </cell>
          <cell r="C104" t="str">
            <v>16 Inch Dia UPVC Pipe Class-E</v>
          </cell>
          <cell r="D104">
            <v>0</v>
          </cell>
          <cell r="E104">
            <v>19.68</v>
          </cell>
          <cell r="F104">
            <v>292</v>
          </cell>
        </row>
        <row r="105">
          <cell r="B105">
            <v>11195</v>
          </cell>
          <cell r="C105" t="str">
            <v>16Inch Dia Upvc Pipe Class-B</v>
          </cell>
          <cell r="D105" t="str">
            <v>4.2-4.6</v>
          </cell>
          <cell r="E105">
            <v>20</v>
          </cell>
          <cell r="F105">
            <v>132</v>
          </cell>
        </row>
        <row r="106">
          <cell r="B106">
            <v>11196</v>
          </cell>
          <cell r="C106" t="str">
            <v>16Inch Dia Upvc Pipe Class-C</v>
          </cell>
          <cell r="D106" t="str">
            <v>14.5-167</v>
          </cell>
          <cell r="E106">
            <v>19.68</v>
          </cell>
          <cell r="F106">
            <v>180</v>
          </cell>
        </row>
        <row r="107">
          <cell r="B107">
            <v>11198</v>
          </cell>
          <cell r="C107" t="str">
            <v>18 Inch Dia Pipe Class B (20ft)</v>
          </cell>
          <cell r="D107" t="str">
            <v>4.2-4.6</v>
          </cell>
          <cell r="E107">
            <v>20</v>
          </cell>
          <cell r="F107">
            <v>158</v>
          </cell>
        </row>
        <row r="108">
          <cell r="B108">
            <v>11199</v>
          </cell>
          <cell r="C108" t="str">
            <v>18 Inch Dia Upvc Pipe Class -C</v>
          </cell>
          <cell r="D108" t="str">
            <v>4.2-4.6</v>
          </cell>
          <cell r="E108">
            <v>20</v>
          </cell>
          <cell r="F108">
            <v>239</v>
          </cell>
        </row>
        <row r="109">
          <cell r="B109">
            <v>12947</v>
          </cell>
          <cell r="C109" t="str">
            <v>18 Inch Dia Upvc Pipe Class-D</v>
          </cell>
          <cell r="D109" t="str">
            <v>4.2-4.6</v>
          </cell>
          <cell r="E109">
            <v>20</v>
          </cell>
          <cell r="F109">
            <v>302</v>
          </cell>
        </row>
        <row r="110">
          <cell r="B110">
            <v>0</v>
          </cell>
          <cell r="C110" t="str">
            <v>Filter Pipe</v>
          </cell>
          <cell r="D110">
            <v>0</v>
          </cell>
          <cell r="E110">
            <v>0</v>
          </cell>
          <cell r="F110">
            <v>0</v>
          </cell>
        </row>
        <row r="111">
          <cell r="B111">
            <v>12951</v>
          </cell>
          <cell r="C111" t="str">
            <v>1.5 Inch Dia Robo Filter</v>
          </cell>
          <cell r="D111" t="str">
            <v>2.5-3.0</v>
          </cell>
          <cell r="E111">
            <v>6.56</v>
          </cell>
          <cell r="F111">
            <v>1.45</v>
          </cell>
        </row>
        <row r="112">
          <cell r="B112">
            <v>13284</v>
          </cell>
          <cell r="C112" t="str">
            <v>1.5 Inch Dia Class-E Filter(Rib)</v>
          </cell>
          <cell r="D112" t="str">
            <v>3.1-3.7</v>
          </cell>
          <cell r="E112">
            <v>10</v>
          </cell>
          <cell r="F112">
            <v>2.5</v>
          </cell>
        </row>
        <row r="113">
          <cell r="B113">
            <v>12842</v>
          </cell>
          <cell r="C113" t="str">
            <v>1.5 inch Dia Upvc Filter Class E</v>
          </cell>
          <cell r="D113" t="str">
            <v>2.5-3.0</v>
          </cell>
          <cell r="E113">
            <v>10</v>
          </cell>
          <cell r="F113">
            <v>2.4700000000000002</v>
          </cell>
        </row>
        <row r="114">
          <cell r="B114">
            <v>11356</v>
          </cell>
          <cell r="C114" t="str">
            <v>1.5 Inch Dia Upvc Filter DPHE 10 No</v>
          </cell>
          <cell r="D114" t="str">
            <v>2.5-3.0</v>
          </cell>
          <cell r="E114">
            <v>10</v>
          </cell>
          <cell r="F114">
            <v>2.5</v>
          </cell>
        </row>
        <row r="115">
          <cell r="B115">
            <v>12687</v>
          </cell>
          <cell r="C115" t="str">
            <v>1.5 inch Dia Upvc Filter DPHE 8 No</v>
          </cell>
          <cell r="D115" t="str">
            <v>2.5-3.0</v>
          </cell>
          <cell r="E115">
            <v>10</v>
          </cell>
          <cell r="F115">
            <v>2.1</v>
          </cell>
        </row>
        <row r="116">
          <cell r="B116">
            <v>13006</v>
          </cell>
          <cell r="C116" t="str">
            <v>1.5 inch Dia Upvc Filter DPHE 8 No (Red)</v>
          </cell>
          <cell r="D116" t="str">
            <v>2.5-3.0</v>
          </cell>
          <cell r="E116">
            <v>10</v>
          </cell>
          <cell r="F116">
            <v>2.1</v>
          </cell>
        </row>
        <row r="117">
          <cell r="B117">
            <v>11109</v>
          </cell>
          <cell r="C117" t="str">
            <v>1.5 Inch Dia Upvc Filter Economy (10 ft Length)</v>
          </cell>
          <cell r="D117" t="str">
            <v>1.8-2.0</v>
          </cell>
          <cell r="E117">
            <v>10</v>
          </cell>
          <cell r="F117">
            <v>1.23</v>
          </cell>
        </row>
        <row r="118">
          <cell r="B118">
            <v>11112</v>
          </cell>
          <cell r="C118" t="str">
            <v>1.5 Inch Dia Upvc Filter Economy (6 ft Length)</v>
          </cell>
          <cell r="D118" t="str">
            <v>1.8-2.0</v>
          </cell>
          <cell r="E118">
            <v>6</v>
          </cell>
          <cell r="F118">
            <v>0.75</v>
          </cell>
        </row>
        <row r="119">
          <cell r="B119">
            <v>11111</v>
          </cell>
          <cell r="C119" t="str">
            <v>1.5 Inch Dia Upvc Filter Economy (8 ft Length)</v>
          </cell>
          <cell r="D119" t="str">
            <v>1.8-2.0</v>
          </cell>
          <cell r="E119">
            <v>8</v>
          </cell>
          <cell r="F119">
            <v>0.99</v>
          </cell>
        </row>
        <row r="120">
          <cell r="B120">
            <v>11119</v>
          </cell>
          <cell r="C120" t="str">
            <v>1.5 Inch Dia UPVC Filter SPL (6 ft Length)</v>
          </cell>
          <cell r="D120" t="str">
            <v>2.0-2.2</v>
          </cell>
          <cell r="E120">
            <v>6</v>
          </cell>
          <cell r="F120">
            <v>0.95</v>
          </cell>
        </row>
        <row r="121">
          <cell r="B121">
            <v>11118</v>
          </cell>
          <cell r="C121" t="str">
            <v>1.5 Inch Dia UPVC Filter SPL (8 ft Length)</v>
          </cell>
          <cell r="D121" t="str">
            <v>2.0-2.2</v>
          </cell>
          <cell r="E121">
            <v>8</v>
          </cell>
          <cell r="F121">
            <v>1.3</v>
          </cell>
        </row>
        <row r="122">
          <cell r="B122">
            <v>11117</v>
          </cell>
          <cell r="C122" t="str">
            <v>1.5 Inch Dia UPVC Fllter SPL (10 ft Length)</v>
          </cell>
          <cell r="D122" t="str">
            <v>2.0-2.2</v>
          </cell>
          <cell r="E122">
            <v>10</v>
          </cell>
          <cell r="F122">
            <v>1.6</v>
          </cell>
        </row>
        <row r="123">
          <cell r="B123">
            <v>11115</v>
          </cell>
          <cell r="C123" t="str">
            <v>1.5 Inch Dia Upvc Pipe Class-D Filter (8 Feet Length)</v>
          </cell>
          <cell r="D123" t="str">
            <v>4.5-5.2</v>
          </cell>
          <cell r="E123">
            <v>8</v>
          </cell>
          <cell r="F123">
            <v>1.48</v>
          </cell>
        </row>
        <row r="124">
          <cell r="B124">
            <v>12884</v>
          </cell>
          <cell r="C124" t="str">
            <v>1.5 Inch Dia UPVC Pipe Filter-Class-D</v>
          </cell>
          <cell r="D124" t="str">
            <v>2.5-3.0</v>
          </cell>
          <cell r="E124">
            <v>10</v>
          </cell>
          <cell r="F124">
            <v>1.9</v>
          </cell>
        </row>
        <row r="125">
          <cell r="B125">
            <v>11114</v>
          </cell>
          <cell r="C125" t="str">
            <v>1.5 Inch Dia UPVC Pipe Filter-Class-D (White)</v>
          </cell>
          <cell r="D125" t="str">
            <v>4.5-5.2</v>
          </cell>
          <cell r="E125">
            <v>10</v>
          </cell>
          <cell r="F125">
            <v>2</v>
          </cell>
        </row>
        <row r="126">
          <cell r="B126">
            <v>13422</v>
          </cell>
          <cell r="C126" t="str">
            <v>1.5 Inch x 10Ft uPVC Cless-D Rib Filter (Gray)</v>
          </cell>
          <cell r="D126" t="str">
            <v>2.5-3.0</v>
          </cell>
          <cell r="E126">
            <v>10</v>
          </cell>
          <cell r="F126">
            <v>1.9</v>
          </cell>
        </row>
        <row r="127">
          <cell r="B127">
            <v>13423</v>
          </cell>
          <cell r="C127" t="str">
            <v>1.5 Inch x 8Ft uPVC Cless-D Rib Filter (Gray)</v>
          </cell>
          <cell r="D127" t="str">
            <v>2.5-3.0</v>
          </cell>
          <cell r="E127">
            <v>8</v>
          </cell>
          <cell r="F127">
            <v>1.48</v>
          </cell>
        </row>
        <row r="128">
          <cell r="B128">
            <v>13171</v>
          </cell>
          <cell r="C128" t="str">
            <v>1.5 Inch Dia UPVC Pipe Filter-Class-D SPL</v>
          </cell>
          <cell r="D128" t="str">
            <v>4.5-5.2</v>
          </cell>
          <cell r="E128">
            <v>10</v>
          </cell>
          <cell r="F128">
            <v>0</v>
          </cell>
        </row>
        <row r="129">
          <cell r="B129">
            <v>11129</v>
          </cell>
          <cell r="C129" t="str">
            <v>2 Inch Dia UPVC Filter Class C</v>
          </cell>
          <cell r="D129" t="str">
            <v>2.5-3.0</v>
          </cell>
          <cell r="E129">
            <v>10</v>
          </cell>
          <cell r="F129">
            <v>2.27</v>
          </cell>
        </row>
        <row r="130">
          <cell r="B130">
            <v>11733</v>
          </cell>
          <cell r="C130" t="str">
            <v>2 Inch Dia UPVC Filter Class E</v>
          </cell>
          <cell r="D130" t="str">
            <v>3.9-4.5</v>
          </cell>
          <cell r="E130">
            <v>10</v>
          </cell>
          <cell r="F130">
            <v>3.55</v>
          </cell>
        </row>
        <row r="131">
          <cell r="B131">
            <v>12975</v>
          </cell>
          <cell r="C131" t="str">
            <v>2 Inch Dia UPVC Filter Class E Diamond</v>
          </cell>
          <cell r="D131" t="str">
            <v>3.9-4.5</v>
          </cell>
          <cell r="E131">
            <v>10</v>
          </cell>
          <cell r="F131">
            <v>3.55</v>
          </cell>
        </row>
        <row r="132">
          <cell r="B132">
            <v>12995</v>
          </cell>
          <cell r="C132" t="str">
            <v>2 Inch Dia UPVC Filter Class E Special</v>
          </cell>
          <cell r="D132" t="str">
            <v>3.9-4.5</v>
          </cell>
          <cell r="E132">
            <v>10</v>
          </cell>
          <cell r="F132">
            <v>3.55</v>
          </cell>
        </row>
        <row r="133">
          <cell r="B133">
            <v>11131</v>
          </cell>
          <cell r="C133" t="str">
            <v>2 Inch Dia Upvc Filter Class-D</v>
          </cell>
          <cell r="D133" t="str">
            <v>3.1-3.7</v>
          </cell>
          <cell r="E133">
            <v>10</v>
          </cell>
          <cell r="F133">
            <v>2.75</v>
          </cell>
        </row>
        <row r="134">
          <cell r="B134">
            <v>13191</v>
          </cell>
          <cell r="C134" t="str">
            <v>2 Inch Dia Upvc Rib Filter Class-D</v>
          </cell>
          <cell r="D134" t="str">
            <v>3.1-3.7</v>
          </cell>
          <cell r="E134">
            <v>10</v>
          </cell>
          <cell r="F134">
            <v>2.8</v>
          </cell>
        </row>
        <row r="135">
          <cell r="B135">
            <v>12969</v>
          </cell>
          <cell r="C135" t="str">
            <v>2 Inch Dia Upvc Filter Class-D Diamond</v>
          </cell>
          <cell r="D135" t="str">
            <v>3.1-3.7</v>
          </cell>
          <cell r="E135">
            <v>15</v>
          </cell>
          <cell r="F135">
            <v>2.75</v>
          </cell>
        </row>
        <row r="136">
          <cell r="B136">
            <v>12993</v>
          </cell>
          <cell r="C136" t="str">
            <v>2 Inch Dia Upvc Filter Class-D Special</v>
          </cell>
          <cell r="D136" t="str">
            <v>3.1-3.7</v>
          </cell>
          <cell r="E136">
            <v>10</v>
          </cell>
          <cell r="F136">
            <v>2.75</v>
          </cell>
        </row>
        <row r="137">
          <cell r="B137">
            <v>12590</v>
          </cell>
          <cell r="C137" t="str">
            <v>2 Inch Dia Upvc Filter -Star</v>
          </cell>
          <cell r="D137" t="str">
            <v>2.5*-3.0</v>
          </cell>
          <cell r="E137">
            <v>10</v>
          </cell>
          <cell r="F137">
            <v>2.73</v>
          </cell>
        </row>
        <row r="138">
          <cell r="B138">
            <v>12956</v>
          </cell>
          <cell r="C138" t="str">
            <v>2 Inch Dia UPVC Filter Supper</v>
          </cell>
          <cell r="D138">
            <v>0</v>
          </cell>
          <cell r="E138">
            <v>10</v>
          </cell>
          <cell r="F138">
            <v>2.5299999999999998</v>
          </cell>
        </row>
        <row r="139">
          <cell r="B139">
            <v>13206</v>
          </cell>
          <cell r="C139" t="str">
            <v>3 Inc Dia Filter Class D- Special</v>
          </cell>
          <cell r="D139" t="str">
            <v>4.6-5.3</v>
          </cell>
          <cell r="E139">
            <v>10</v>
          </cell>
          <cell r="F139">
            <v>5.9</v>
          </cell>
        </row>
        <row r="140">
          <cell r="B140">
            <v>12269</v>
          </cell>
          <cell r="C140" t="str">
            <v>3 Inch Dia Filter Class-E</v>
          </cell>
          <cell r="D140" t="str">
            <v>5.7-6.6</v>
          </cell>
          <cell r="E140">
            <v>10</v>
          </cell>
          <cell r="F140">
            <v>8.25</v>
          </cell>
        </row>
        <row r="141">
          <cell r="B141">
            <v>11136</v>
          </cell>
          <cell r="C141" t="str">
            <v>3 Inch Dia UPVC Filter Class - B</v>
          </cell>
          <cell r="D141" t="str">
            <v>2.9-3.4</v>
          </cell>
          <cell r="E141">
            <v>10</v>
          </cell>
          <cell r="F141">
            <v>3.9</v>
          </cell>
        </row>
        <row r="142">
          <cell r="B142">
            <v>11138</v>
          </cell>
          <cell r="C142" t="str">
            <v>3 Inch Dia UPVC Filter Class - C</v>
          </cell>
          <cell r="D142" t="str">
            <v>3.5-4.1</v>
          </cell>
          <cell r="E142">
            <v>10</v>
          </cell>
          <cell r="F142">
            <v>4.75</v>
          </cell>
        </row>
        <row r="143">
          <cell r="B143">
            <v>12580</v>
          </cell>
          <cell r="C143" t="str">
            <v>3 Inc Dia Filter Class C-SPL</v>
          </cell>
          <cell r="D143" t="str">
            <v>3.0-3.2</v>
          </cell>
          <cell r="E143">
            <v>15</v>
          </cell>
          <cell r="F143">
            <v>4.5</v>
          </cell>
        </row>
        <row r="144">
          <cell r="B144">
            <v>11140</v>
          </cell>
          <cell r="C144" t="str">
            <v>3 Inch Dia UPVC Filter Class-D</v>
          </cell>
          <cell r="D144" t="str">
            <v>4.6-5.3</v>
          </cell>
          <cell r="E144">
            <v>10</v>
          </cell>
          <cell r="F144">
            <v>5.9</v>
          </cell>
        </row>
        <row r="145">
          <cell r="B145">
            <v>11134</v>
          </cell>
          <cell r="C145" t="str">
            <v>3 Inch Dia Upvc Pipe Filter-Star (2.7 Thickness)</v>
          </cell>
          <cell r="D145" t="str">
            <v>2.6-2.9</v>
          </cell>
          <cell r="E145">
            <v>10</v>
          </cell>
          <cell r="F145">
            <v>4</v>
          </cell>
        </row>
        <row r="146">
          <cell r="B146">
            <v>11148</v>
          </cell>
          <cell r="C146" t="str">
            <v>4 Inch Dia Filter Pipe Class - C</v>
          </cell>
          <cell r="D146" t="str">
            <v>4.5-5.2</v>
          </cell>
          <cell r="E146">
            <v>10</v>
          </cell>
          <cell r="F146">
            <v>7.65</v>
          </cell>
        </row>
        <row r="147">
          <cell r="B147">
            <v>11142</v>
          </cell>
          <cell r="C147" t="str">
            <v>4 Inch Upvc Pipe Star Filter (Gray)</v>
          </cell>
          <cell r="D147" t="str">
            <v>3.2-3.4</v>
          </cell>
          <cell r="E147">
            <v>10</v>
          </cell>
          <cell r="F147">
            <v>6.25</v>
          </cell>
        </row>
        <row r="148">
          <cell r="B148">
            <v>11156</v>
          </cell>
          <cell r="C148" t="str">
            <v>5 Inch Dia UPVC Filtter Class-C</v>
          </cell>
          <cell r="D148" t="str">
            <v>5.5-6.4</v>
          </cell>
          <cell r="E148">
            <v>10</v>
          </cell>
          <cell r="F148">
            <v>11.75</v>
          </cell>
        </row>
        <row r="149">
          <cell r="B149">
            <v>13615</v>
          </cell>
          <cell r="C149" t="str">
            <v>5 Inch Dia UPVC Filtter Class-C (N)</v>
          </cell>
          <cell r="D149" t="str">
            <v>5.5-6.4</v>
          </cell>
          <cell r="E149">
            <v>10</v>
          </cell>
          <cell r="F149">
            <v>12</v>
          </cell>
        </row>
        <row r="150">
          <cell r="B150">
            <v>11203</v>
          </cell>
          <cell r="C150" t="str">
            <v>4 Inch Dia Class Filter -C SPL</v>
          </cell>
          <cell r="D150" t="str">
            <v>4.5-5.2</v>
          </cell>
          <cell r="E150">
            <v>10</v>
          </cell>
          <cell r="F150">
            <v>8</v>
          </cell>
        </row>
        <row r="151">
          <cell r="B151">
            <v>13239</v>
          </cell>
          <cell r="C151" t="str">
            <v>4 Inch Dia Class Filter -C SPL(4.50)</v>
          </cell>
          <cell r="D151">
            <v>4.5</v>
          </cell>
          <cell r="E151">
            <v>10</v>
          </cell>
          <cell r="F151">
            <v>7.75</v>
          </cell>
        </row>
        <row r="152">
          <cell r="B152">
            <v>11150</v>
          </cell>
          <cell r="C152" t="str">
            <v>4 Inch Dia UPVC Filter Class - D</v>
          </cell>
          <cell r="D152" t="str">
            <v>6.0-6.9</v>
          </cell>
          <cell r="E152">
            <v>10</v>
          </cell>
          <cell r="F152">
            <v>9.8000000000000007</v>
          </cell>
        </row>
        <row r="153">
          <cell r="B153">
            <v>11146</v>
          </cell>
          <cell r="C153" t="str">
            <v>4 Inch Dia UPVC Filter Class -B</v>
          </cell>
          <cell r="D153" t="str">
            <v>3.4-4.0</v>
          </cell>
          <cell r="E153">
            <v>10</v>
          </cell>
          <cell r="F153">
            <v>5.9</v>
          </cell>
        </row>
        <row r="154">
          <cell r="B154">
            <v>11152</v>
          </cell>
          <cell r="C154" t="str">
            <v>4 Inch Dia UPVC Filter Class-E</v>
          </cell>
          <cell r="D154" t="str">
            <v>7.3-8.4</v>
          </cell>
          <cell r="E154">
            <v>10</v>
          </cell>
          <cell r="F154">
            <v>12.25</v>
          </cell>
        </row>
        <row r="155">
          <cell r="B155">
            <v>12971</v>
          </cell>
          <cell r="C155" t="str">
            <v>4 Inch Dia Upvc Pipe Class -D SPL Diamond Filter</v>
          </cell>
          <cell r="D155" t="str">
            <v>6.0-6.9</v>
          </cell>
          <cell r="E155">
            <v>10</v>
          </cell>
          <cell r="F155">
            <v>10.199999999999999</v>
          </cell>
        </row>
        <row r="156">
          <cell r="B156">
            <v>11399</v>
          </cell>
          <cell r="C156" t="str">
            <v>4 Inch Dia Upvc Pipe Class -D SPL Filter</v>
          </cell>
          <cell r="D156" t="str">
            <v>6.0-6.9</v>
          </cell>
          <cell r="E156">
            <v>10</v>
          </cell>
          <cell r="F156">
            <v>10</v>
          </cell>
        </row>
        <row r="157">
          <cell r="B157">
            <v>13242</v>
          </cell>
          <cell r="C157" t="str">
            <v>4 Inch Dia Upvc Pipe Class -D SPL Filter(6.0)</v>
          </cell>
          <cell r="D157">
            <v>6</v>
          </cell>
          <cell r="E157">
            <v>10</v>
          </cell>
          <cell r="F157">
            <v>9.75</v>
          </cell>
        </row>
        <row r="158">
          <cell r="B158">
            <v>12963</v>
          </cell>
          <cell r="C158" t="str">
            <v>5 Inch Dia Upvc Class-D Special Filter</v>
          </cell>
          <cell r="D158" t="str">
            <v>7.3-8.4</v>
          </cell>
          <cell r="E158">
            <v>10</v>
          </cell>
          <cell r="F158">
            <v>15.5</v>
          </cell>
        </row>
        <row r="159">
          <cell r="B159">
            <v>11154</v>
          </cell>
          <cell r="C159" t="str">
            <v>5 Inch Dia UPVC- Filter Class-B</v>
          </cell>
          <cell r="D159" t="str">
            <v>3.8-4.4</v>
          </cell>
          <cell r="E159">
            <v>10</v>
          </cell>
          <cell r="F159">
            <v>8.35</v>
          </cell>
        </row>
        <row r="160">
          <cell r="B160">
            <v>13565</v>
          </cell>
          <cell r="C160" t="str">
            <v>5 Inch Dia UPVC- Filter Class-B As like Bs</v>
          </cell>
          <cell r="D160" t="str">
            <v>3.8-4.4</v>
          </cell>
          <cell r="E160">
            <v>10</v>
          </cell>
          <cell r="F160">
            <v>8.75</v>
          </cell>
        </row>
        <row r="161">
          <cell r="B161">
            <v>11158</v>
          </cell>
          <cell r="C161" t="str">
            <v>5 Inch Dia UPVC Filter Class-D</v>
          </cell>
          <cell r="D161" t="str">
            <v>7.3-8.4</v>
          </cell>
          <cell r="E161">
            <v>10</v>
          </cell>
          <cell r="F161">
            <v>15.25</v>
          </cell>
        </row>
        <row r="162">
          <cell r="B162">
            <v>12973</v>
          </cell>
          <cell r="C162" t="str">
            <v>5 Inch Dia Upvc Pipe Class-D SPL Diamond Filter</v>
          </cell>
          <cell r="D162" t="str">
            <v>7.3-8.4</v>
          </cell>
          <cell r="E162">
            <v>10</v>
          </cell>
          <cell r="F162">
            <v>15.5</v>
          </cell>
        </row>
        <row r="163">
          <cell r="B163">
            <v>11201</v>
          </cell>
          <cell r="C163" t="str">
            <v>5 Inch Dia Upvc Pipe Class-D SPL Filter</v>
          </cell>
          <cell r="D163" t="str">
            <v>7.3-8.4</v>
          </cell>
          <cell r="E163">
            <v>10</v>
          </cell>
          <cell r="F163">
            <v>15.5</v>
          </cell>
        </row>
        <row r="164">
          <cell r="B164">
            <v>11205</v>
          </cell>
          <cell r="C164" t="str">
            <v>5 Inch Dia Upvc Pipe Filter-Star</v>
          </cell>
          <cell r="D164" t="str">
            <v>3.8-4.0</v>
          </cell>
          <cell r="E164">
            <v>10</v>
          </cell>
          <cell r="F164">
            <v>9.25</v>
          </cell>
        </row>
        <row r="165">
          <cell r="B165">
            <v>11160</v>
          </cell>
          <cell r="C165" t="str">
            <v>5 Inch Upvc Pipe (Filter) Class-E</v>
          </cell>
          <cell r="D165" t="str">
            <v>9.0-10.4</v>
          </cell>
          <cell r="E165">
            <v>10</v>
          </cell>
          <cell r="F165">
            <v>17.5</v>
          </cell>
        </row>
        <row r="166">
          <cell r="B166">
            <v>13431</v>
          </cell>
          <cell r="C166" t="str">
            <v>5 Inch Upvc Pipe (Filter) Class-E 1</v>
          </cell>
          <cell r="D166" t="str">
            <v>9.0-10.4</v>
          </cell>
          <cell r="E166" t="str">
            <v>3mtr</v>
          </cell>
          <cell r="F166">
            <v>18.7</v>
          </cell>
        </row>
        <row r="167">
          <cell r="B167">
            <v>11162</v>
          </cell>
          <cell r="C167" t="str">
            <v>6 Inch Dia UPVC Filter Class -B</v>
          </cell>
          <cell r="D167" t="str">
            <v>4.5-5.2</v>
          </cell>
          <cell r="E167">
            <v>10</v>
          </cell>
          <cell r="F167">
            <v>11.75</v>
          </cell>
        </row>
        <row r="168">
          <cell r="B168">
            <v>13567</v>
          </cell>
          <cell r="C168" t="str">
            <v>6 Inch Dia UPVC Filter Class -B As like Bs</v>
          </cell>
          <cell r="D168" t="str">
            <v>4.5-5.2</v>
          </cell>
          <cell r="E168">
            <v>10</v>
          </cell>
          <cell r="F168">
            <v>10.4</v>
          </cell>
        </row>
        <row r="169">
          <cell r="B169">
            <v>11166</v>
          </cell>
          <cell r="C169" t="str">
            <v>6 Inch Dia Upvc Filter Class- D</v>
          </cell>
          <cell r="D169" t="str">
            <v>8.8-10.2</v>
          </cell>
          <cell r="E169">
            <v>10</v>
          </cell>
          <cell r="F169">
            <v>21.9</v>
          </cell>
        </row>
        <row r="170">
          <cell r="B170">
            <v>11164</v>
          </cell>
          <cell r="C170" t="str">
            <v>6 Inch Dia Upvc Filter Class-C</v>
          </cell>
          <cell r="D170" t="str">
            <v>6.6-7.6</v>
          </cell>
          <cell r="E170">
            <v>10</v>
          </cell>
          <cell r="F170">
            <v>16.25</v>
          </cell>
        </row>
        <row r="171">
          <cell r="B171">
            <v>23207</v>
          </cell>
          <cell r="C171" t="str">
            <v>6 Inch Dia UPVC Filter Class-C Special</v>
          </cell>
          <cell r="D171" t="str">
            <v>6.6-7.6</v>
          </cell>
          <cell r="E171">
            <v>10</v>
          </cell>
          <cell r="F171">
            <v>16.25</v>
          </cell>
        </row>
        <row r="172">
          <cell r="B172">
            <v>11168</v>
          </cell>
          <cell r="C172" t="str">
            <v>6 Inch Dia Upvc Filter Class-E</v>
          </cell>
          <cell r="D172" t="str">
            <v>10.8-12.5</v>
          </cell>
          <cell r="E172">
            <v>10</v>
          </cell>
          <cell r="F172">
            <v>25.75</v>
          </cell>
        </row>
        <row r="173">
          <cell r="B173">
            <v>13630</v>
          </cell>
          <cell r="C173" t="str">
            <v>6 Inch Dia Upvc Filter Class-E 1</v>
          </cell>
          <cell r="D173" t="str">
            <v>10.8-12.5</v>
          </cell>
          <cell r="E173">
            <v>10</v>
          </cell>
          <cell r="F173">
            <v>26.7</v>
          </cell>
        </row>
        <row r="174">
          <cell r="B174">
            <v>12576</v>
          </cell>
          <cell r="C174" t="str">
            <v>8 Inc Dia Filter Class C-SPL</v>
          </cell>
          <cell r="D174" t="str">
            <v>10.3-11.9</v>
          </cell>
          <cell r="E174">
            <v>20</v>
          </cell>
          <cell r="F174">
            <v>28</v>
          </cell>
        </row>
        <row r="175">
          <cell r="B175">
            <v>11416</v>
          </cell>
          <cell r="C175" t="str">
            <v>8 Inch Dia Robo Filter Class-E</v>
          </cell>
          <cell r="D175" t="str">
            <v>10.3-11.9</v>
          </cell>
          <cell r="E175">
            <v>20</v>
          </cell>
          <cell r="F175">
            <v>42.8</v>
          </cell>
        </row>
        <row r="176">
          <cell r="B176">
            <v>11172</v>
          </cell>
          <cell r="C176" t="str">
            <v>8 Inch Dia UPVC Filter Class- C</v>
          </cell>
          <cell r="D176" t="str">
            <v>7.8-9.0</v>
          </cell>
          <cell r="E176">
            <v>10</v>
          </cell>
          <cell r="F176">
            <v>25</v>
          </cell>
        </row>
        <row r="177">
          <cell r="B177">
            <v>11174</v>
          </cell>
          <cell r="C177" t="str">
            <v>8 Inch Dia Upvc Filter Class D</v>
          </cell>
          <cell r="D177" t="str">
            <v>10.3-11.9</v>
          </cell>
          <cell r="E177">
            <v>10</v>
          </cell>
          <cell r="F177">
            <v>32.75</v>
          </cell>
        </row>
        <row r="178">
          <cell r="B178">
            <v>11170</v>
          </cell>
          <cell r="C178" t="str">
            <v>8 Inch Dia UPVC Filter Class-B</v>
          </cell>
          <cell r="D178" t="str">
            <v>5.3-6.1</v>
          </cell>
          <cell r="E178">
            <v>10</v>
          </cell>
          <cell r="F178">
            <v>17.5</v>
          </cell>
        </row>
        <row r="179">
          <cell r="B179">
            <v>11176</v>
          </cell>
          <cell r="C179" t="str">
            <v>8 Inch Dia Upvc Pipe Filter Class-E</v>
          </cell>
          <cell r="D179" t="str">
            <v>12.6-14.5</v>
          </cell>
          <cell r="E179">
            <v>10</v>
          </cell>
          <cell r="F179">
            <v>40</v>
          </cell>
        </row>
        <row r="180">
          <cell r="B180">
            <v>11180</v>
          </cell>
          <cell r="C180" t="str">
            <v>10 Inch Dia Upvc Filter Class- C</v>
          </cell>
          <cell r="D180" t="str">
            <v>3.2-3.4</v>
          </cell>
          <cell r="E180">
            <v>10</v>
          </cell>
          <cell r="F180">
            <v>39</v>
          </cell>
        </row>
        <row r="181">
          <cell r="B181">
            <v>12734</v>
          </cell>
          <cell r="C181" t="str">
            <v>10 Inch Dia Upvc Filter Class D</v>
          </cell>
          <cell r="D181" t="str">
            <v>3.2-3.4</v>
          </cell>
          <cell r="E181">
            <v>10</v>
          </cell>
          <cell r="F181">
            <v>55</v>
          </cell>
        </row>
        <row r="182">
          <cell r="B182">
            <v>12828</v>
          </cell>
          <cell r="C182" t="str">
            <v>10 Inch Dia Upvc Filter Class E</v>
          </cell>
          <cell r="D182" t="str">
            <v>15.7-18.1</v>
          </cell>
          <cell r="E182">
            <v>10</v>
          </cell>
          <cell r="F182">
            <v>62</v>
          </cell>
        </row>
        <row r="183">
          <cell r="B183">
            <v>11178</v>
          </cell>
          <cell r="C183" t="str">
            <v>10 Inch Dia Upvc Pipe Filter Class-B (ft)</v>
          </cell>
          <cell r="D183" t="str">
            <v>3.2-3.4</v>
          </cell>
          <cell r="E183">
            <v>10</v>
          </cell>
          <cell r="F183">
            <v>27.5</v>
          </cell>
        </row>
        <row r="184">
          <cell r="B184">
            <v>11185</v>
          </cell>
          <cell r="C184" t="str">
            <v>12 Inch Dia Upvc Filter Class-B</v>
          </cell>
          <cell r="D184" t="str">
            <v>2.9-3.3</v>
          </cell>
          <cell r="E184">
            <v>3</v>
          </cell>
          <cell r="F184">
            <v>40</v>
          </cell>
        </row>
        <row r="185">
          <cell r="B185">
            <v>11324</v>
          </cell>
          <cell r="C185" t="str">
            <v>110 mm Dia UPVC Filter- SWR-2</v>
          </cell>
          <cell r="D185" t="str">
            <v>2.9-3.2</v>
          </cell>
          <cell r="E185">
            <v>10</v>
          </cell>
          <cell r="F185">
            <v>5.93</v>
          </cell>
        </row>
        <row r="186">
          <cell r="B186">
            <v>11326</v>
          </cell>
          <cell r="C186" t="str">
            <v>110 mm Dia Upvc Filter SWR-3</v>
          </cell>
          <cell r="D186" t="str">
            <v>3.2-3.4</v>
          </cell>
          <cell r="E186">
            <v>10</v>
          </cell>
          <cell r="F186">
            <v>6.45</v>
          </cell>
        </row>
        <row r="187">
          <cell r="B187">
            <v>11322</v>
          </cell>
          <cell r="C187" t="str">
            <v>110mm Dia UPVC Filter Class SWR-1</v>
          </cell>
          <cell r="D187">
            <v>2.7</v>
          </cell>
          <cell r="E187">
            <v>10</v>
          </cell>
          <cell r="F187">
            <v>5.2</v>
          </cell>
        </row>
        <row r="188">
          <cell r="B188">
            <v>11318</v>
          </cell>
          <cell r="C188" t="str">
            <v>110 mm SWR -1 Spl (Filter)</v>
          </cell>
          <cell r="D188" t="str">
            <v>2.6-2.8</v>
          </cell>
          <cell r="E188">
            <v>10</v>
          </cell>
          <cell r="F188">
            <v>5</v>
          </cell>
        </row>
        <row r="189">
          <cell r="B189">
            <v>11320</v>
          </cell>
          <cell r="C189" t="str">
            <v>110mm Dia UPVC Filter Class SWR-1 Spl (Gray)</v>
          </cell>
          <cell r="D189" t="str">
            <v>2.6-2.8</v>
          </cell>
          <cell r="E189">
            <v>10</v>
          </cell>
          <cell r="F189">
            <v>5</v>
          </cell>
        </row>
        <row r="190">
          <cell r="B190">
            <v>12911</v>
          </cell>
          <cell r="C190" t="str">
            <v>12 Inch Dia Upvc Filter Class-E</v>
          </cell>
          <cell r="D190" t="str">
            <v>2.9-3.3</v>
          </cell>
          <cell r="E190">
            <v>10</v>
          </cell>
          <cell r="F190">
            <v>92</v>
          </cell>
        </row>
        <row r="191">
          <cell r="B191">
            <v>11334</v>
          </cell>
          <cell r="C191" t="str">
            <v>140 mm Dia Filter- Economy</v>
          </cell>
          <cell r="D191" t="str">
            <v>2.9-3.3</v>
          </cell>
          <cell r="E191">
            <v>10</v>
          </cell>
          <cell r="F191">
            <v>7.5</v>
          </cell>
        </row>
        <row r="192">
          <cell r="B192">
            <v>11342</v>
          </cell>
          <cell r="C192" t="str">
            <v>160mm Dia PVC Pipe Class SWR-1 (Filter)</v>
          </cell>
          <cell r="D192" t="str">
            <v>3.1-3.3</v>
          </cell>
          <cell r="E192">
            <v>10</v>
          </cell>
          <cell r="F192">
            <v>10.65</v>
          </cell>
        </row>
        <row r="193">
          <cell r="B193">
            <v>0</v>
          </cell>
          <cell r="C193" t="str">
            <v>ISO Pipe</v>
          </cell>
          <cell r="D193">
            <v>0</v>
          </cell>
          <cell r="E193">
            <v>0</v>
          </cell>
          <cell r="F193">
            <v>0</v>
          </cell>
        </row>
        <row r="194">
          <cell r="B194">
            <v>11301</v>
          </cell>
          <cell r="C194" t="str">
            <v>32 mm Dia UPVC Pipe Class ISO</v>
          </cell>
          <cell r="D194" t="str">
            <v>4.5-5.2</v>
          </cell>
          <cell r="E194">
            <v>10</v>
          </cell>
          <cell r="F194">
            <v>1</v>
          </cell>
        </row>
        <row r="195">
          <cell r="B195">
            <v>13399</v>
          </cell>
          <cell r="C195" t="str">
            <v>40mm Dia Upvc PN-12.5 Pipe</v>
          </cell>
          <cell r="D195" t="str">
            <v>2-4-2.9</v>
          </cell>
          <cell r="E195">
            <v>3</v>
          </cell>
          <cell r="F195">
            <v>1.71</v>
          </cell>
        </row>
        <row r="196">
          <cell r="B196">
            <v>13207</v>
          </cell>
          <cell r="C196" t="str">
            <v>40 mm upvc pipe PN-16</v>
          </cell>
          <cell r="D196" t="str">
            <v>7.3-8.4</v>
          </cell>
          <cell r="E196">
            <v>10</v>
          </cell>
          <cell r="F196">
            <v>0</v>
          </cell>
        </row>
        <row r="197">
          <cell r="B197">
            <v>11302</v>
          </cell>
          <cell r="C197" t="str">
            <v>40 mm Dia UPVC Pipe Class ISO</v>
          </cell>
          <cell r="D197" t="str">
            <v>7.3-8.4</v>
          </cell>
          <cell r="E197">
            <v>10</v>
          </cell>
          <cell r="F197">
            <v>1.3</v>
          </cell>
        </row>
        <row r="198">
          <cell r="B198">
            <v>13400</v>
          </cell>
          <cell r="C198" t="str">
            <v>50mm Dia Upvc PN-12.5 Pipe</v>
          </cell>
          <cell r="D198" t="str">
            <v>3.0-3.6</v>
          </cell>
          <cell r="E198">
            <v>3</v>
          </cell>
          <cell r="F198">
            <v>2.76</v>
          </cell>
        </row>
        <row r="199">
          <cell r="B199">
            <v>13208</v>
          </cell>
          <cell r="C199" t="str">
            <v>50 mm upvc pipe PN- 16</v>
          </cell>
          <cell r="D199" t="str">
            <v>4.5-5.2</v>
          </cell>
          <cell r="E199">
            <v>10</v>
          </cell>
          <cell r="F199">
            <v>0</v>
          </cell>
        </row>
        <row r="200">
          <cell r="B200">
            <v>11303</v>
          </cell>
          <cell r="C200" t="str">
            <v>50mm Dia UPVC Pipe Class-ISO</v>
          </cell>
          <cell r="D200" t="str">
            <v>4.5-5.2</v>
          </cell>
          <cell r="E200">
            <v>10</v>
          </cell>
          <cell r="F200">
            <v>2.2000000000000002</v>
          </cell>
        </row>
        <row r="201">
          <cell r="B201">
            <v>13401</v>
          </cell>
          <cell r="C201" t="str">
            <v>75mm Dia Upvc PN-12.5 Pipe</v>
          </cell>
          <cell r="D201" t="str">
            <v>4.5-6.1</v>
          </cell>
          <cell r="E201">
            <v>6</v>
          </cell>
          <cell r="F201">
            <v>11.52</v>
          </cell>
        </row>
        <row r="202">
          <cell r="B202">
            <v>13589</v>
          </cell>
          <cell r="C202" t="str">
            <v xml:space="preserve">75mm Dia PN-20 </v>
          </cell>
          <cell r="D202" t="str">
            <v>6.8-7.7</v>
          </cell>
          <cell r="E202">
            <v>20</v>
          </cell>
          <cell r="F202">
            <v>15.4</v>
          </cell>
        </row>
        <row r="203">
          <cell r="B203">
            <v>13209</v>
          </cell>
          <cell r="C203" t="str">
            <v>80 mm upvc pipe PN-16</v>
          </cell>
          <cell r="D203" t="str">
            <v>1.5-1.7</v>
          </cell>
          <cell r="E203">
            <v>20</v>
          </cell>
          <cell r="F203">
            <v>0</v>
          </cell>
        </row>
        <row r="204">
          <cell r="B204">
            <v>13402</v>
          </cell>
          <cell r="C204" t="str">
            <v>80mm Dia Upvc PN-12.5 Pipe</v>
          </cell>
          <cell r="D204" t="str">
            <v>4.8-6.5</v>
          </cell>
          <cell r="E204">
            <v>6</v>
          </cell>
          <cell r="F204">
            <v>13.32</v>
          </cell>
        </row>
        <row r="205">
          <cell r="B205">
            <v>11308</v>
          </cell>
          <cell r="C205" t="str">
            <v>80mm Dia Upvc Pipe SWR Economy</v>
          </cell>
          <cell r="D205" t="str">
            <v>1.5-1.7</v>
          </cell>
          <cell r="E205">
            <v>20</v>
          </cell>
          <cell r="F205">
            <v>4.7</v>
          </cell>
        </row>
        <row r="206">
          <cell r="B206">
            <v>11304</v>
          </cell>
          <cell r="C206" t="str">
            <v>80mm Dia Upvc Pipe SWR-0</v>
          </cell>
          <cell r="D206" t="str">
            <v>1.8-2.0</v>
          </cell>
          <cell r="E206">
            <v>20</v>
          </cell>
          <cell r="F206">
            <v>5.8</v>
          </cell>
        </row>
        <row r="207">
          <cell r="B207">
            <v>11306</v>
          </cell>
          <cell r="C207" t="str">
            <v>80mm Dia UPVC Pipe SWR-1</v>
          </cell>
          <cell r="D207" t="str">
            <v>2.9-3.2</v>
          </cell>
          <cell r="E207">
            <v>20</v>
          </cell>
          <cell r="F207">
            <v>8</v>
          </cell>
        </row>
        <row r="208">
          <cell r="B208">
            <v>12538</v>
          </cell>
          <cell r="C208" t="str">
            <v>80mm Dia Upvc Pipe SWR-Special (Grey)</v>
          </cell>
          <cell r="D208" t="str">
            <v>1.6-1.8</v>
          </cell>
          <cell r="E208">
            <v>20</v>
          </cell>
          <cell r="F208">
            <v>5.4</v>
          </cell>
        </row>
        <row r="209">
          <cell r="B209">
            <v>12537</v>
          </cell>
          <cell r="C209" t="str">
            <v>80mm Dia Upvc Pipe SWR-Special (White)</v>
          </cell>
          <cell r="D209" t="str">
            <v>1.6-1.8</v>
          </cell>
          <cell r="E209">
            <v>20</v>
          </cell>
          <cell r="F209">
            <v>5.4</v>
          </cell>
        </row>
        <row r="210">
          <cell r="B210">
            <v>13211</v>
          </cell>
          <cell r="C210" t="str">
            <v>110 mm ( 4 inch ) uPVC pipe PN-6</v>
          </cell>
          <cell r="D210" t="str">
            <v>3.2-3.4</v>
          </cell>
          <cell r="E210">
            <v>20</v>
          </cell>
          <cell r="F210">
            <v>0</v>
          </cell>
        </row>
        <row r="211">
          <cell r="B211">
            <v>13182</v>
          </cell>
          <cell r="C211" t="str">
            <v>110 mm Dia Pipe SWR-4 (thickness 4.00-4.40)</v>
          </cell>
          <cell r="D211" t="str">
            <v>3.2-3.4</v>
          </cell>
          <cell r="E211">
            <v>20</v>
          </cell>
          <cell r="F211">
            <v>0</v>
          </cell>
        </row>
        <row r="212">
          <cell r="B212">
            <v>11314</v>
          </cell>
          <cell r="C212" t="str">
            <v>110 mm Dia UPVC Pipe SWR Special</v>
          </cell>
          <cell r="D212" t="str">
            <v>1.8-2.1</v>
          </cell>
          <cell r="E212">
            <v>20</v>
          </cell>
          <cell r="F212">
            <v>7.6</v>
          </cell>
        </row>
        <row r="213">
          <cell r="B213">
            <v>11313</v>
          </cell>
          <cell r="C213" t="str">
            <v>110 mm Dia UPVC Pipe Class SWR Economy</v>
          </cell>
          <cell r="D213" t="str">
            <v>1.5-1.6</v>
          </cell>
          <cell r="E213">
            <v>20</v>
          </cell>
          <cell r="F213">
            <v>6.6</v>
          </cell>
        </row>
        <row r="214">
          <cell r="B214">
            <v>12600</v>
          </cell>
          <cell r="C214" t="str">
            <v>110 mm Dia UPVC Pipe PN-8 with Orion Socket</v>
          </cell>
          <cell r="D214" t="str">
            <v>1.8-2.1</v>
          </cell>
          <cell r="E214">
            <v>20</v>
          </cell>
          <cell r="F214">
            <v>0</v>
          </cell>
        </row>
        <row r="215">
          <cell r="B215">
            <v>11321</v>
          </cell>
          <cell r="C215" t="str">
            <v>110 mm Dia UPVC Pipe SWR-1</v>
          </cell>
          <cell r="D215" t="str">
            <v>2.9-3.2</v>
          </cell>
          <cell r="E215">
            <v>20</v>
          </cell>
          <cell r="F215">
            <v>10.4</v>
          </cell>
        </row>
        <row r="216">
          <cell r="B216">
            <v>11323</v>
          </cell>
          <cell r="C216" t="str">
            <v>110 mm Dia UPVC Pipe SWR-2</v>
          </cell>
          <cell r="D216" t="str">
            <v>2.9-3.2</v>
          </cell>
          <cell r="E216">
            <v>20</v>
          </cell>
          <cell r="F216">
            <v>11.85</v>
          </cell>
        </row>
        <row r="217">
          <cell r="B217">
            <v>12934</v>
          </cell>
          <cell r="C217" t="str">
            <v>110 mm Dia Upvc Pipe SWR-3 SPL</v>
          </cell>
          <cell r="D217" t="str">
            <v>3.2-3.4</v>
          </cell>
          <cell r="E217">
            <v>20</v>
          </cell>
          <cell r="F217">
            <v>12.7</v>
          </cell>
        </row>
        <row r="218">
          <cell r="B218">
            <v>11325</v>
          </cell>
          <cell r="C218" t="str">
            <v>110 mm Dia UPVC Pipe SWR-3</v>
          </cell>
          <cell r="D218" t="str">
            <v>3.2-3.4</v>
          </cell>
          <cell r="E218">
            <v>20</v>
          </cell>
          <cell r="F218">
            <v>12.9</v>
          </cell>
        </row>
        <row r="219">
          <cell r="B219">
            <v>11319</v>
          </cell>
          <cell r="C219" t="str">
            <v>110mm Dia Upvc Pipe SWR-1 Special (Gray)</v>
          </cell>
          <cell r="D219" t="str">
            <v>2.4-2.6</v>
          </cell>
          <cell r="E219">
            <v>20</v>
          </cell>
          <cell r="F219">
            <v>10</v>
          </cell>
        </row>
        <row r="220">
          <cell r="B220">
            <v>11309</v>
          </cell>
          <cell r="C220" t="str">
            <v>110mm Dia UPVC Pipe ISO-2</v>
          </cell>
          <cell r="D220" t="str">
            <v>2.8-3.0</v>
          </cell>
          <cell r="E220">
            <v>20</v>
          </cell>
          <cell r="F220">
            <v>11</v>
          </cell>
        </row>
        <row r="221">
          <cell r="B221">
            <v>11311</v>
          </cell>
          <cell r="C221" t="str">
            <v>110mm Dia UPVC Pipe ISO-3</v>
          </cell>
          <cell r="D221" t="str">
            <v>3.0-3.2</v>
          </cell>
          <cell r="E221">
            <v>20</v>
          </cell>
          <cell r="F221">
            <v>12.3</v>
          </cell>
        </row>
        <row r="222">
          <cell r="B222">
            <v>12155</v>
          </cell>
          <cell r="C222" t="str">
            <v>110mm Dia Upvc Pipe SWR-0</v>
          </cell>
          <cell r="D222" t="str">
            <v>2.3-2.5</v>
          </cell>
          <cell r="E222">
            <v>20</v>
          </cell>
          <cell r="F222">
            <v>9.5</v>
          </cell>
        </row>
        <row r="223">
          <cell r="B223">
            <v>11316</v>
          </cell>
          <cell r="C223" t="str">
            <v>110mm Dia Upvc Pipe SWR-1 Smart</v>
          </cell>
          <cell r="D223" t="str">
            <v>2.4-2.7</v>
          </cell>
          <cell r="E223">
            <v>20</v>
          </cell>
          <cell r="F223">
            <v>9.5</v>
          </cell>
        </row>
        <row r="224">
          <cell r="B224">
            <v>13438</v>
          </cell>
          <cell r="C224" t="str">
            <v>110mm Dia Upvc Pipe SWR-1 Smart</v>
          </cell>
          <cell r="D224" t="str">
            <v>2.5-2.7</v>
          </cell>
          <cell r="E224">
            <v>20</v>
          </cell>
          <cell r="F224">
            <v>9.5</v>
          </cell>
        </row>
        <row r="225">
          <cell r="B225">
            <v>11317</v>
          </cell>
          <cell r="C225" t="str">
            <v>110mm Dia Upvc Pipe SWR-1 Special (White)</v>
          </cell>
          <cell r="D225" t="str">
            <v>2.4-2.6</v>
          </cell>
          <cell r="E225">
            <v>20</v>
          </cell>
          <cell r="F225">
            <v>10</v>
          </cell>
        </row>
        <row r="226">
          <cell r="B226">
            <v>11328</v>
          </cell>
          <cell r="C226" t="str">
            <v>110mm Dia Upvc Pipe SWR-4 (White)</v>
          </cell>
          <cell r="D226" t="str">
            <v>3.4-4.0</v>
          </cell>
          <cell r="E226">
            <v>20</v>
          </cell>
          <cell r="F226">
            <v>16.5</v>
          </cell>
        </row>
        <row r="227">
          <cell r="B227">
            <v>11329</v>
          </cell>
          <cell r="C227" t="str">
            <v>110mm Dia Upvc PN-8 Pipe</v>
          </cell>
          <cell r="D227" t="str">
            <v>3.4-4.0</v>
          </cell>
          <cell r="E227">
            <v>20</v>
          </cell>
          <cell r="F227">
            <v>12.6</v>
          </cell>
        </row>
        <row r="228">
          <cell r="B228">
            <v>12712</v>
          </cell>
          <cell r="C228" t="str">
            <v>110mm Dia Upvc PN-10 Pipe</v>
          </cell>
          <cell r="D228" t="str">
            <v>4.20-4.90</v>
          </cell>
          <cell r="E228">
            <v>20</v>
          </cell>
          <cell r="F228">
            <v>15.5</v>
          </cell>
        </row>
        <row r="229">
          <cell r="B229">
            <v>13403</v>
          </cell>
          <cell r="C229" t="str">
            <v>110mm Dia Upvc PN-12.5 Pipe</v>
          </cell>
          <cell r="D229" t="str">
            <v>5.3-6.1</v>
          </cell>
          <cell r="E229" t="str">
            <v>6m</v>
          </cell>
          <cell r="F229">
            <v>19.799999999999997</v>
          </cell>
        </row>
        <row r="230">
          <cell r="B230">
            <v>11315</v>
          </cell>
          <cell r="C230" t="str">
            <v>110mm Dia Upvc SWR (Smart)</v>
          </cell>
          <cell r="D230" t="str">
            <v>2.3-2.5</v>
          </cell>
          <cell r="E230">
            <v>20</v>
          </cell>
          <cell r="F230">
            <v>9.5</v>
          </cell>
        </row>
        <row r="231">
          <cell r="B231">
            <v>11333</v>
          </cell>
          <cell r="C231" t="str">
            <v>140 mm Dia Pipe - Economy</v>
          </cell>
          <cell r="D231" t="str">
            <v>2.9-3.3</v>
          </cell>
          <cell r="E231">
            <v>20</v>
          </cell>
          <cell r="F231">
            <v>15</v>
          </cell>
        </row>
        <row r="232">
          <cell r="B232">
            <v>13212</v>
          </cell>
          <cell r="C232" t="str">
            <v>160 mm ( 6 inch) uPVC pipe PN-6</v>
          </cell>
          <cell r="D232" t="str">
            <v>3.0-3.2</v>
          </cell>
          <cell r="E232">
            <v>20</v>
          </cell>
          <cell r="F232">
            <v>21.9</v>
          </cell>
        </row>
        <row r="233">
          <cell r="B233">
            <v>13192</v>
          </cell>
          <cell r="C233" t="str">
            <v>160 mm Dia Pipe (PN-10)</v>
          </cell>
          <cell r="D233" t="str">
            <v>3.0-3.2</v>
          </cell>
          <cell r="E233">
            <v>20</v>
          </cell>
          <cell r="F233">
            <v>31.5</v>
          </cell>
        </row>
        <row r="234">
          <cell r="B234">
            <v>11278</v>
          </cell>
          <cell r="C234" t="str">
            <v>160 mm Dia SWR-0 (SP)</v>
          </cell>
          <cell r="D234" t="str">
            <v>3.0-3.2</v>
          </cell>
          <cell r="E234">
            <v>20</v>
          </cell>
          <cell r="F234">
            <v>17.5</v>
          </cell>
        </row>
        <row r="235">
          <cell r="B235">
            <v>11337</v>
          </cell>
          <cell r="C235" t="str">
            <v>160 mm Dia Upvc Pipe SWR -Economy</v>
          </cell>
          <cell r="D235" t="str">
            <v>2.7-3.0</v>
          </cell>
          <cell r="E235">
            <v>20</v>
          </cell>
          <cell r="F235">
            <v>16</v>
          </cell>
        </row>
        <row r="236">
          <cell r="B236">
            <v>12170</v>
          </cell>
          <cell r="C236" t="str">
            <v>160 mm Dia Upvc Pipe SWR-2 (White)</v>
          </cell>
          <cell r="D236" t="str">
            <v>2.7-3.0</v>
          </cell>
          <cell r="E236">
            <v>20</v>
          </cell>
          <cell r="F236">
            <v>25.3</v>
          </cell>
        </row>
        <row r="237">
          <cell r="B237">
            <v>11358</v>
          </cell>
          <cell r="C237" t="str">
            <v>160 mm Dia Upvc Pipe SWR-SP</v>
          </cell>
          <cell r="D237" t="str">
            <v>2.7-3.0</v>
          </cell>
          <cell r="E237">
            <v>20</v>
          </cell>
          <cell r="F237">
            <v>16</v>
          </cell>
        </row>
        <row r="238">
          <cell r="B238">
            <v>13374</v>
          </cell>
          <cell r="C238" t="str">
            <v>160mm Dia Upvc PN-16 Pipe</v>
          </cell>
          <cell r="D238" t="str">
            <v>9.5-11</v>
          </cell>
          <cell r="E238" t="str">
            <v>6 m</v>
          </cell>
          <cell r="F238">
            <v>51</v>
          </cell>
        </row>
        <row r="239">
          <cell r="B239">
            <v>11282</v>
          </cell>
          <cell r="C239" t="str">
            <v>160 mm UPVC Pipe SWR- SP</v>
          </cell>
          <cell r="D239" t="str">
            <v>2.6-2.8</v>
          </cell>
          <cell r="E239">
            <v>20</v>
          </cell>
          <cell r="F239">
            <v>16</v>
          </cell>
        </row>
        <row r="240">
          <cell r="B240">
            <v>11338</v>
          </cell>
          <cell r="C240" t="str">
            <v>160 mm UPVC Pipe SWR- Special</v>
          </cell>
          <cell r="D240" t="str">
            <v>2.6-2.8</v>
          </cell>
          <cell r="E240">
            <v>20</v>
          </cell>
          <cell r="F240">
            <v>16.2</v>
          </cell>
        </row>
        <row r="241">
          <cell r="B241">
            <v>11341</v>
          </cell>
          <cell r="C241" t="str">
            <v>160mm Dia PVC Pipe Class SWR-1</v>
          </cell>
          <cell r="D241" t="str">
            <v>3.8-4.1</v>
          </cell>
          <cell r="E241">
            <v>20</v>
          </cell>
          <cell r="F241">
            <v>22.3</v>
          </cell>
        </row>
        <row r="242">
          <cell r="B242">
            <v>11339</v>
          </cell>
          <cell r="C242" t="str">
            <v>160mm Dia UPVC Pipe Class SWR-0</v>
          </cell>
          <cell r="D242" t="str">
            <v>3.1-3.3</v>
          </cell>
          <cell r="E242">
            <v>20</v>
          </cell>
          <cell r="F242">
            <v>18.2</v>
          </cell>
        </row>
        <row r="243">
          <cell r="B243">
            <v>11336</v>
          </cell>
          <cell r="C243" t="str">
            <v>160mm Dia UPVC Pipe ISO (R) (Thickness 4.5-4.6 6mm)</v>
          </cell>
          <cell r="D243" t="str">
            <v>4.5-4.6</v>
          </cell>
          <cell r="E243">
            <v>20</v>
          </cell>
          <cell r="F243">
            <v>25.7</v>
          </cell>
        </row>
        <row r="244">
          <cell r="B244">
            <v>11335</v>
          </cell>
          <cell r="C244" t="str">
            <v>160mm Dia Upvc PN-8 Pipe</v>
          </cell>
          <cell r="D244" t="str">
            <v>4.2-4.6</v>
          </cell>
          <cell r="E244">
            <v>20</v>
          </cell>
          <cell r="F244">
            <v>26.6</v>
          </cell>
        </row>
        <row r="245">
          <cell r="B245">
            <v>13404</v>
          </cell>
          <cell r="C245" t="str">
            <v>160mm Dia Upvc PN-12.5 Pipe</v>
          </cell>
          <cell r="D245" t="str">
            <v>7.7-8.7</v>
          </cell>
          <cell r="E245" t="str">
            <v>6m</v>
          </cell>
          <cell r="F245">
            <v>41.58</v>
          </cell>
        </row>
        <row r="246">
          <cell r="B246">
            <v>13213</v>
          </cell>
          <cell r="C246" t="str">
            <v>200 mm ( 8 inch ) uPVC pipe PN- 6</v>
          </cell>
          <cell r="D246" t="str">
            <v>4.9-5.6</v>
          </cell>
          <cell r="E246">
            <v>20</v>
          </cell>
          <cell r="F246">
            <v>28</v>
          </cell>
        </row>
        <row r="247">
          <cell r="B247">
            <v>13193</v>
          </cell>
          <cell r="C247" t="str">
            <v>200 mm Dia Pipe (PN-10)</v>
          </cell>
          <cell r="D247" t="str">
            <v>2.6-2.8</v>
          </cell>
          <cell r="E247">
            <v>20</v>
          </cell>
          <cell r="F247">
            <v>45.5</v>
          </cell>
        </row>
        <row r="248">
          <cell r="B248">
            <v>11347</v>
          </cell>
          <cell r="C248" t="str">
            <v>200 mm Dia Upvc Pipe -Spl (2.7)</v>
          </cell>
          <cell r="D248" t="str">
            <v>2.6-2.8</v>
          </cell>
          <cell r="E248">
            <v>20</v>
          </cell>
          <cell r="F248">
            <v>19.2</v>
          </cell>
        </row>
        <row r="249">
          <cell r="B249">
            <v>11345</v>
          </cell>
          <cell r="C249" t="str">
            <v>200 MM Dia UPVC Pipe SWR-1</v>
          </cell>
          <cell r="D249" t="str">
            <v>3.8-4.2</v>
          </cell>
          <cell r="E249">
            <v>20</v>
          </cell>
          <cell r="F249">
            <v>29</v>
          </cell>
        </row>
        <row r="250">
          <cell r="B250">
            <v>11346</v>
          </cell>
          <cell r="C250" t="str">
            <v>200 MM Dia UPVC Pipe SWR-2</v>
          </cell>
          <cell r="D250" t="str">
            <v>4.8-5.2</v>
          </cell>
          <cell r="E250">
            <v>20</v>
          </cell>
          <cell r="F250">
            <v>35.200000000000003</v>
          </cell>
        </row>
        <row r="251">
          <cell r="B251">
            <v>13405</v>
          </cell>
          <cell r="C251" t="str">
            <v>200mm Dia Upvc PN-12.5 Pipe</v>
          </cell>
          <cell r="D251" t="str">
            <v>9.6-10.4</v>
          </cell>
          <cell r="E251" t="str">
            <v>6m</v>
          </cell>
          <cell r="F251">
            <v>64.8</v>
          </cell>
        </row>
        <row r="252">
          <cell r="B252">
            <v>11348</v>
          </cell>
          <cell r="C252" t="str">
            <v>200mm Upvc SWR Pipe (PN-8)</v>
          </cell>
          <cell r="D252" t="str">
            <v>3.0-3.2</v>
          </cell>
          <cell r="E252">
            <v>20</v>
          </cell>
          <cell r="F252">
            <v>39.200000000000003</v>
          </cell>
        </row>
        <row r="253">
          <cell r="B253">
            <v>13066</v>
          </cell>
          <cell r="C253" t="str">
            <v>225 mm Dia Pipe (PN-8)</v>
          </cell>
          <cell r="D253" t="str">
            <v>3.0-3.2</v>
          </cell>
          <cell r="E253">
            <v>20</v>
          </cell>
          <cell r="F253">
            <v>47.5</v>
          </cell>
        </row>
        <row r="254">
          <cell r="B254">
            <v>11350</v>
          </cell>
          <cell r="C254" t="str">
            <v>250 mm Dia Upvc Pipe SWR-1 (3.1 Gray)</v>
          </cell>
          <cell r="D254" t="str">
            <v>3.0-3.2</v>
          </cell>
          <cell r="E254">
            <v>20</v>
          </cell>
          <cell r="F254">
            <v>28.5</v>
          </cell>
        </row>
        <row r="255">
          <cell r="B255">
            <v>13218</v>
          </cell>
          <cell r="C255" t="str">
            <v>250 mm Dia Upvc Pipe SWR-2</v>
          </cell>
          <cell r="D255" t="str">
            <v>3.0-3.2</v>
          </cell>
          <cell r="E255">
            <v>20</v>
          </cell>
          <cell r="F255">
            <v>36</v>
          </cell>
        </row>
        <row r="256">
          <cell r="B256">
            <v>11351</v>
          </cell>
          <cell r="C256" t="str">
            <v>250 mm Dia Upvc Pipe SWR-2 (3.9 Grey)</v>
          </cell>
          <cell r="D256" t="str">
            <v>3.0-3.2</v>
          </cell>
          <cell r="E256">
            <v>20</v>
          </cell>
          <cell r="F256">
            <v>36</v>
          </cell>
        </row>
        <row r="257">
          <cell r="B257">
            <v>11349</v>
          </cell>
          <cell r="C257" t="str">
            <v>250mm Dia UPVC Pipe SWR-1</v>
          </cell>
          <cell r="D257" t="str">
            <v>3.0-3.2</v>
          </cell>
          <cell r="E257">
            <v>20</v>
          </cell>
          <cell r="F257">
            <v>28.5</v>
          </cell>
        </row>
        <row r="258">
          <cell r="B258">
            <v>12477</v>
          </cell>
          <cell r="C258" t="str">
            <v>250mm Dia UPVC Cassing Pipe (Grey)</v>
          </cell>
          <cell r="D258">
            <v>0</v>
          </cell>
          <cell r="E258">
            <v>20</v>
          </cell>
          <cell r="F258">
            <v>38.5</v>
          </cell>
        </row>
        <row r="259">
          <cell r="B259">
            <v>11352</v>
          </cell>
          <cell r="C259" t="str">
            <v>250mm UPVC Pipe(PN-8)</v>
          </cell>
          <cell r="D259" t="str">
            <v>3.0-3.2</v>
          </cell>
          <cell r="E259">
            <v>20</v>
          </cell>
          <cell r="F259">
            <v>54</v>
          </cell>
        </row>
        <row r="260">
          <cell r="B260">
            <v>12539</v>
          </cell>
          <cell r="C260" t="str">
            <v>280mm Dia Upvc Pipe PN-8</v>
          </cell>
          <cell r="D260" t="str">
            <v>3.0-3.2</v>
          </cell>
          <cell r="E260">
            <v>20</v>
          </cell>
          <cell r="F260">
            <v>0</v>
          </cell>
        </row>
        <row r="261">
          <cell r="B261">
            <v>0</v>
          </cell>
          <cell r="C261" t="str">
            <v>Thread Pipe</v>
          </cell>
          <cell r="D261">
            <v>0</v>
          </cell>
          <cell r="E261">
            <v>0</v>
          </cell>
          <cell r="F261">
            <v>0</v>
          </cell>
        </row>
        <row r="262">
          <cell r="B262">
            <v>11501</v>
          </cell>
          <cell r="C262" t="str">
            <v>0.5 Inch Dia UPVC Thread Pipe</v>
          </cell>
          <cell r="D262" t="str">
            <v>3.2-3.8</v>
          </cell>
          <cell r="E262">
            <v>10</v>
          </cell>
          <cell r="F262">
            <v>0.87</v>
          </cell>
        </row>
        <row r="263">
          <cell r="B263">
            <v>11502</v>
          </cell>
          <cell r="C263" t="str">
            <v>0.75 Inch Dia UPVC Thread Pipe</v>
          </cell>
          <cell r="D263" t="str">
            <v>3.4-4.0</v>
          </cell>
          <cell r="E263">
            <v>10</v>
          </cell>
          <cell r="F263">
            <v>1.24</v>
          </cell>
        </row>
        <row r="264">
          <cell r="B264">
            <v>11503</v>
          </cell>
          <cell r="C264" t="str">
            <v>1 Inch Dia UPVC Thread Pipe</v>
          </cell>
          <cell r="D264" t="str">
            <v>3.5-4.1</v>
          </cell>
          <cell r="E264">
            <v>10</v>
          </cell>
          <cell r="F264">
            <v>1.65</v>
          </cell>
        </row>
        <row r="265">
          <cell r="B265">
            <v>11504</v>
          </cell>
          <cell r="C265" t="str">
            <v>1.25 Inch Dia UPVC Thread Pipe</v>
          </cell>
          <cell r="D265" t="str">
            <v>4.2-4.9</v>
          </cell>
          <cell r="E265">
            <v>10</v>
          </cell>
          <cell r="F265">
            <v>2.42</v>
          </cell>
        </row>
        <row r="266">
          <cell r="B266">
            <v>11505</v>
          </cell>
          <cell r="C266" t="str">
            <v>1.5 Inch Dia UPVC Thread Pipe</v>
          </cell>
          <cell r="D266" t="str">
            <v>4.5-5.2</v>
          </cell>
          <cell r="E266">
            <v>10</v>
          </cell>
          <cell r="F266">
            <v>2.9</v>
          </cell>
        </row>
        <row r="267">
          <cell r="B267">
            <v>11506</v>
          </cell>
          <cell r="C267" t="str">
            <v>2 Inch Dia UPVC Thread Pipe</v>
          </cell>
          <cell r="D267" t="str">
            <v>4.6-5.3</v>
          </cell>
          <cell r="E267">
            <v>10</v>
          </cell>
          <cell r="F267">
            <v>3.9</v>
          </cell>
        </row>
        <row r="268">
          <cell r="B268">
            <v>0</v>
          </cell>
          <cell r="C268" t="str">
            <v>Coil Pipe</v>
          </cell>
          <cell r="D268">
            <v>0</v>
          </cell>
          <cell r="E268">
            <v>0</v>
          </cell>
          <cell r="F268">
            <v>0</v>
          </cell>
        </row>
        <row r="269">
          <cell r="B269">
            <v>13594</v>
          </cell>
          <cell r="C269" t="str">
            <v>HDPE Coil Pipe DL Black 0.50 Inc x 500 ft</v>
          </cell>
          <cell r="D269" t="str">
            <v>2.0-2.2</v>
          </cell>
          <cell r="E269">
            <v>500</v>
          </cell>
          <cell r="F269">
            <v>20.5</v>
          </cell>
        </row>
        <row r="270">
          <cell r="B270">
            <v>13595</v>
          </cell>
          <cell r="C270" t="str">
            <v>HDPE Coil Pipe DL Black 0.75 Inc x 500 ft</v>
          </cell>
          <cell r="D270" t="str">
            <v>2.2-2.5</v>
          </cell>
          <cell r="E270">
            <v>500</v>
          </cell>
          <cell r="F270">
            <v>25.5</v>
          </cell>
        </row>
        <row r="271">
          <cell r="B271">
            <v>13596</v>
          </cell>
          <cell r="C271" t="str">
            <v>HDPE Coil Pipe DL Black 1 Inc x 500 ft</v>
          </cell>
          <cell r="D271" t="str">
            <v>2.2-2.4</v>
          </cell>
          <cell r="E271">
            <v>500</v>
          </cell>
          <cell r="F271">
            <v>35</v>
          </cell>
        </row>
        <row r="272">
          <cell r="B272">
            <v>13597</v>
          </cell>
          <cell r="C272" t="str">
            <v>HDPE Coil Pipe DL Black 1.25 Inc x 500 ft</v>
          </cell>
          <cell r="D272" t="str">
            <v>2.3-2.5</v>
          </cell>
          <cell r="E272">
            <v>500</v>
          </cell>
          <cell r="F272">
            <v>46</v>
          </cell>
        </row>
        <row r="273">
          <cell r="B273">
            <v>13598</v>
          </cell>
          <cell r="C273" t="str">
            <v>HDPE Coil Pipe DL Black 1.50 Inc x 300 ft</v>
          </cell>
          <cell r="D273" t="str">
            <v>2.5-2.7</v>
          </cell>
          <cell r="E273">
            <v>300</v>
          </cell>
          <cell r="F273">
            <v>38.5</v>
          </cell>
        </row>
        <row r="274">
          <cell r="B274">
            <v>13599</v>
          </cell>
          <cell r="C274" t="str">
            <v>HDPE Coil Pipe DL Black 2 Inc x 300 ft</v>
          </cell>
          <cell r="D274" t="str">
            <v>3.0-3.4</v>
          </cell>
          <cell r="E274">
            <v>300</v>
          </cell>
          <cell r="F274">
            <v>59</v>
          </cell>
        </row>
        <row r="275">
          <cell r="B275">
            <v>12568</v>
          </cell>
          <cell r="C275" t="str">
            <v>0.5 Inc HDPE Coil Pipe-Green</v>
          </cell>
          <cell r="D275" t="str">
            <v>2.0-2.2</v>
          </cell>
          <cell r="E275">
            <v>500</v>
          </cell>
          <cell r="F275">
            <v>19.5</v>
          </cell>
        </row>
        <row r="276">
          <cell r="B276">
            <v>12569</v>
          </cell>
          <cell r="C276" t="str">
            <v>0.75 Inc HDPE Coil Pipe-Green</v>
          </cell>
          <cell r="D276" t="str">
            <v>2.2-2.4</v>
          </cell>
          <cell r="E276">
            <v>500</v>
          </cell>
          <cell r="F276">
            <v>24.5</v>
          </cell>
        </row>
        <row r="277">
          <cell r="B277">
            <v>12570</v>
          </cell>
          <cell r="C277" t="str">
            <v>1 Inc HDPE Coil Pipe-Green</v>
          </cell>
          <cell r="D277" t="str">
            <v>2.2-2.4</v>
          </cell>
          <cell r="E277">
            <v>500</v>
          </cell>
          <cell r="F277">
            <v>35</v>
          </cell>
        </row>
        <row r="278">
          <cell r="B278">
            <v>12571</v>
          </cell>
          <cell r="C278" t="str">
            <v>1.25 Inc HDPE Coil Pipe-Green</v>
          </cell>
          <cell r="D278" t="str">
            <v>2.5-2.6</v>
          </cell>
          <cell r="E278">
            <v>500</v>
          </cell>
          <cell r="F278">
            <v>46</v>
          </cell>
        </row>
        <row r="279">
          <cell r="B279">
            <v>12572</v>
          </cell>
          <cell r="C279" t="str">
            <v>1.5 Inc HDPE Coil Pipe-Green</v>
          </cell>
          <cell r="D279" t="str">
            <v>2.5-2.6</v>
          </cell>
          <cell r="E279">
            <v>300</v>
          </cell>
          <cell r="F279">
            <v>36.5</v>
          </cell>
        </row>
        <row r="280">
          <cell r="B280">
            <v>12573</v>
          </cell>
          <cell r="C280" t="str">
            <v>2 Inc HDPE Coil Pipe-Green</v>
          </cell>
          <cell r="D280" t="str">
            <v>4.2-4.6</v>
          </cell>
          <cell r="E280">
            <v>300</v>
          </cell>
          <cell r="F280">
            <v>74.099999999999994</v>
          </cell>
        </row>
        <row r="281">
          <cell r="B281">
            <v>0</v>
          </cell>
          <cell r="C281" t="str">
            <v>PPR Pipe</v>
          </cell>
          <cell r="D281">
            <v>0</v>
          </cell>
          <cell r="E281">
            <v>0</v>
          </cell>
          <cell r="F281">
            <v>0</v>
          </cell>
        </row>
        <row r="282">
          <cell r="B282">
            <v>12676</v>
          </cell>
          <cell r="C282" t="str">
            <v>0.50 Inch Dia PPR Pipe-Green</v>
          </cell>
          <cell r="D282" t="str">
            <v>2.8-3.0</v>
          </cell>
          <cell r="E282">
            <v>10</v>
          </cell>
          <cell r="F282">
            <v>0.48</v>
          </cell>
        </row>
        <row r="283">
          <cell r="B283">
            <v>12677</v>
          </cell>
          <cell r="C283" t="str">
            <v>0.75 Inch Dia PPR Pipe-Green</v>
          </cell>
          <cell r="D283" t="str">
            <v>3.5-3.7</v>
          </cell>
          <cell r="E283">
            <v>10</v>
          </cell>
          <cell r="F283">
            <v>0.75</v>
          </cell>
        </row>
        <row r="284">
          <cell r="B284">
            <v>12678</v>
          </cell>
          <cell r="C284" t="str">
            <v>1 Inch Dia PPR Pipe-Green</v>
          </cell>
          <cell r="D284" t="str">
            <v>4.4-4.6</v>
          </cell>
          <cell r="E284">
            <v>10</v>
          </cell>
          <cell r="F284">
            <v>1.2</v>
          </cell>
        </row>
        <row r="285">
          <cell r="B285">
            <v>12679</v>
          </cell>
          <cell r="C285" t="str">
            <v>1.25 Inch Dia PPR Pipe-Green</v>
          </cell>
          <cell r="D285" t="str">
            <v>4.5-4.7</v>
          </cell>
          <cell r="E285">
            <v>10</v>
          </cell>
          <cell r="F285">
            <v>1.5</v>
          </cell>
        </row>
        <row r="286">
          <cell r="B286">
            <v>12680</v>
          </cell>
          <cell r="C286" t="str">
            <v>1.5 Inch Dia PPR Pipe-Green</v>
          </cell>
          <cell r="D286" t="str">
            <v>5.6-5.8</v>
          </cell>
          <cell r="E286">
            <v>10</v>
          </cell>
          <cell r="F286">
            <v>2.2999999999999998</v>
          </cell>
        </row>
        <row r="287">
          <cell r="B287">
            <v>12681</v>
          </cell>
          <cell r="C287" t="str">
            <v>2 Inch Dia PPR Pipe-Green</v>
          </cell>
          <cell r="D287" t="str">
            <v>7.1-7.3</v>
          </cell>
          <cell r="E287">
            <v>10</v>
          </cell>
          <cell r="F287">
            <v>3.6</v>
          </cell>
        </row>
        <row r="288">
          <cell r="B288">
            <v>0</v>
          </cell>
          <cell r="C288" t="str">
            <v>cPVC Pipe</v>
          </cell>
          <cell r="D288">
            <v>0</v>
          </cell>
          <cell r="E288">
            <v>0</v>
          </cell>
          <cell r="F288">
            <v>0</v>
          </cell>
        </row>
        <row r="289">
          <cell r="B289">
            <v>13386</v>
          </cell>
          <cell r="C289" t="str">
            <v>CPVC Pipe 1/2''(15mm)X3M-SDR-13.5</v>
          </cell>
          <cell r="D289" t="str">
            <v>1.4-1.9</v>
          </cell>
          <cell r="E289">
            <v>9.84</v>
          </cell>
          <cell r="F289">
            <v>0.35</v>
          </cell>
        </row>
        <row r="290">
          <cell r="B290">
            <v>13387</v>
          </cell>
          <cell r="C290" t="str">
            <v>CPVC Pipe 3/4''(20mm)X3M-SDR-13.5</v>
          </cell>
          <cell r="D290" t="str">
            <v>1.7-2.2</v>
          </cell>
          <cell r="E290">
            <v>9.84</v>
          </cell>
          <cell r="F290">
            <v>0.55000000000000004</v>
          </cell>
        </row>
        <row r="291">
          <cell r="B291">
            <v>13388</v>
          </cell>
          <cell r="C291" t="str">
            <v>CPVC Pipe 1''(25mm)X3M-SDR-13.5</v>
          </cell>
          <cell r="D291" t="str">
            <v>2.1-2.6</v>
          </cell>
          <cell r="E291">
            <v>9.84</v>
          </cell>
          <cell r="F291">
            <v>0.9</v>
          </cell>
        </row>
        <row r="292">
          <cell r="B292">
            <v>13389</v>
          </cell>
          <cell r="C292" t="str">
            <v>CPVC Pipe 1.25''(32mm)X3M-SDR-13.5</v>
          </cell>
          <cell r="D292" t="str">
            <v>2.6-3.1</v>
          </cell>
          <cell r="E292">
            <v>9.84</v>
          </cell>
          <cell r="F292">
            <v>1.32</v>
          </cell>
        </row>
        <row r="293">
          <cell r="B293">
            <v>13390</v>
          </cell>
          <cell r="C293" t="str">
            <v>CPVC Pipe 1.5''(40mm)X3M-SDR-13.5</v>
          </cell>
          <cell r="D293" t="str">
            <v>3.1-3.6</v>
          </cell>
          <cell r="E293">
            <v>9.84</v>
          </cell>
          <cell r="F293">
            <v>1.8</v>
          </cell>
        </row>
        <row r="294">
          <cell r="B294">
            <v>13391</v>
          </cell>
          <cell r="C294" t="str">
            <v>CPVC Pipe 2''(50mm)X3M-SDR-13.5</v>
          </cell>
          <cell r="D294" t="str">
            <v>4-4.6</v>
          </cell>
          <cell r="E294">
            <v>9.84</v>
          </cell>
          <cell r="F294">
            <v>3.1</v>
          </cell>
        </row>
        <row r="295">
          <cell r="B295">
            <v>13380</v>
          </cell>
          <cell r="C295" t="str">
            <v>CPVC Pipe 1/2''(15mm)X3M-SDR-11</v>
          </cell>
          <cell r="D295" t="str">
            <v>1.7-2.2</v>
          </cell>
          <cell r="E295">
            <v>9.84</v>
          </cell>
          <cell r="F295">
            <v>0.38</v>
          </cell>
        </row>
        <row r="296">
          <cell r="B296">
            <v>13381</v>
          </cell>
          <cell r="C296" t="str">
            <v>CPVC Pipe 3/4''(20mm)X3M-SDR-11</v>
          </cell>
          <cell r="D296" t="str">
            <v>2-2.5</v>
          </cell>
          <cell r="E296">
            <v>9.84</v>
          </cell>
          <cell r="F296">
            <v>0.65</v>
          </cell>
        </row>
        <row r="297">
          <cell r="B297">
            <v>13382</v>
          </cell>
          <cell r="C297" t="str">
            <v>CPVC Pipe 1''(25mm)X3M-SDR-11</v>
          </cell>
          <cell r="D297" t="str">
            <v>2.6-3.1</v>
          </cell>
          <cell r="E297">
            <v>9.84</v>
          </cell>
          <cell r="F297">
            <v>1.1000000000000001</v>
          </cell>
        </row>
        <row r="298">
          <cell r="B298">
            <v>13383</v>
          </cell>
          <cell r="C298" t="str">
            <v>CPVC Pipe 1.25''(32mm)X3M-SDR-11</v>
          </cell>
          <cell r="D298" t="str">
            <v>3.2-3.7</v>
          </cell>
          <cell r="E298">
            <v>9.84</v>
          </cell>
          <cell r="F298">
            <v>1.6</v>
          </cell>
        </row>
        <row r="299">
          <cell r="B299">
            <v>13384</v>
          </cell>
          <cell r="C299" t="str">
            <v>CPVC Pipe 1.5''(40mm)X3M-SDR-11</v>
          </cell>
          <cell r="D299" t="str">
            <v>3.8-4.3</v>
          </cell>
          <cell r="E299">
            <v>9.84</v>
          </cell>
          <cell r="F299">
            <v>2.1</v>
          </cell>
        </row>
        <row r="300">
          <cell r="B300">
            <v>13385</v>
          </cell>
          <cell r="C300" t="str">
            <v>CPVC Pipe 2''(50mm)X3M-SDR-11</v>
          </cell>
          <cell r="D300" t="str">
            <v>4.9-5.5</v>
          </cell>
          <cell r="E300">
            <v>9.84</v>
          </cell>
          <cell r="F300">
            <v>3.65</v>
          </cell>
        </row>
        <row r="301">
          <cell r="B301">
            <v>0</v>
          </cell>
          <cell r="C301" t="str">
            <v>Plumbing pipe</v>
          </cell>
          <cell r="D301">
            <v>0</v>
          </cell>
          <cell r="E301">
            <v>0</v>
          </cell>
          <cell r="F301">
            <v>0</v>
          </cell>
        </row>
        <row r="302">
          <cell r="B302">
            <v>13530</v>
          </cell>
          <cell r="C302" t="str">
            <v>0.5 Inch Dia UPVC Push Pipe-White</v>
          </cell>
          <cell r="D302" t="str">
            <v>2.8-3.2</v>
          </cell>
          <cell r="E302" t="str">
            <v>3 mt</v>
          </cell>
          <cell r="F302">
            <v>0.85</v>
          </cell>
        </row>
        <row r="303">
          <cell r="B303">
            <v>13531</v>
          </cell>
          <cell r="C303" t="str">
            <v>0.75 Inch Dia UPVC Push Pipe-White</v>
          </cell>
          <cell r="D303" t="str">
            <v>2.9-3.3</v>
          </cell>
          <cell r="E303" t="str">
            <v>3 mt</v>
          </cell>
          <cell r="F303">
            <v>1.1000000000000001</v>
          </cell>
        </row>
        <row r="304">
          <cell r="B304">
            <v>13532</v>
          </cell>
          <cell r="C304" t="str">
            <v>1 Inch Dia UPVC Push Pipe-White</v>
          </cell>
          <cell r="D304" t="str">
            <v>3.4-3.8</v>
          </cell>
          <cell r="E304" t="str">
            <v>3 mt</v>
          </cell>
          <cell r="F304">
            <v>1.7</v>
          </cell>
        </row>
        <row r="305">
          <cell r="B305">
            <v>13533</v>
          </cell>
          <cell r="C305" t="str">
            <v>1.25 Inch Dia UPVC Push Pipe-White</v>
          </cell>
          <cell r="D305" t="str">
            <v>3.6-4.0</v>
          </cell>
          <cell r="E305" t="str">
            <v>3 mt</v>
          </cell>
          <cell r="F305">
            <v>2.2000000000000002</v>
          </cell>
        </row>
        <row r="306">
          <cell r="B306">
            <v>13534</v>
          </cell>
          <cell r="C306" t="str">
            <v>1.5 Inch Dia UPVC Push Pipe-White</v>
          </cell>
          <cell r="D306" t="str">
            <v>3.7-4.1</v>
          </cell>
          <cell r="E306" t="str">
            <v>3 mt</v>
          </cell>
          <cell r="F306">
            <v>2.7</v>
          </cell>
        </row>
        <row r="307">
          <cell r="B307">
            <v>13535</v>
          </cell>
          <cell r="C307" t="str">
            <v>2 Inch Dia UPVC Push Pipe-White</v>
          </cell>
          <cell r="D307" t="str">
            <v>3.9-4.3</v>
          </cell>
          <cell r="E307" t="str">
            <v>3 mt</v>
          </cell>
          <cell r="F307">
            <v>3.55</v>
          </cell>
        </row>
        <row r="308">
          <cell r="B308">
            <v>0</v>
          </cell>
          <cell r="C308" t="str">
            <v>Export</v>
          </cell>
          <cell r="D308">
            <v>0</v>
          </cell>
          <cell r="E308">
            <v>0</v>
          </cell>
          <cell r="F308">
            <v>0</v>
          </cell>
        </row>
        <row r="309">
          <cell r="B309">
            <v>12984</v>
          </cell>
          <cell r="C309" t="str">
            <v>0.5 Inc HDPE Coil Pipe-White</v>
          </cell>
          <cell r="D309" t="str">
            <v>2.0-2.2</v>
          </cell>
          <cell r="E309">
            <v>500</v>
          </cell>
          <cell r="F309">
            <v>18</v>
          </cell>
        </row>
        <row r="310">
          <cell r="B310">
            <v>13061</v>
          </cell>
          <cell r="C310" t="str">
            <v>0.75 Inc HDPE Coil Pipe-White</v>
          </cell>
          <cell r="D310" t="str">
            <v>2.2-2.4</v>
          </cell>
          <cell r="E310">
            <v>0</v>
          </cell>
          <cell r="F310">
            <v>16.728000000000002</v>
          </cell>
        </row>
        <row r="311">
          <cell r="B311">
            <v>12648</v>
          </cell>
          <cell r="C311" t="str">
            <v>0.5 Inch Dia Push Stick Pipe</v>
          </cell>
          <cell r="D311" t="str">
            <v>1.8-2.1</v>
          </cell>
          <cell r="E311">
            <v>10</v>
          </cell>
          <cell r="F311">
            <v>0.69</v>
          </cell>
        </row>
        <row r="312">
          <cell r="B312">
            <v>13235</v>
          </cell>
          <cell r="C312" t="str">
            <v>0.5 Inch Dia Upvc Pipe (1.8-2.1 ) - White</v>
          </cell>
          <cell r="D312" t="str">
            <v>1.8-2.1</v>
          </cell>
          <cell r="E312">
            <v>10</v>
          </cell>
          <cell r="F312">
            <v>0.69</v>
          </cell>
        </row>
        <row r="313">
          <cell r="B313">
            <v>12649</v>
          </cell>
          <cell r="C313" t="str">
            <v>0.75 Inch Dia Push Stick Pipe</v>
          </cell>
          <cell r="D313" t="str">
            <v>3.4-4.0</v>
          </cell>
          <cell r="E313">
            <v>10</v>
          </cell>
          <cell r="F313">
            <v>0.9</v>
          </cell>
        </row>
        <row r="314">
          <cell r="B314">
            <v>12985</v>
          </cell>
          <cell r="C314" t="str">
            <v>1 Inc HDPE Coil Pipe-White</v>
          </cell>
          <cell r="D314" t="str">
            <v>2.2-2.4</v>
          </cell>
          <cell r="E314">
            <v>500</v>
          </cell>
          <cell r="F314">
            <v>33</v>
          </cell>
        </row>
        <row r="315">
          <cell r="B315">
            <v>12595</v>
          </cell>
          <cell r="C315" t="str">
            <v>1 Inch Dia Push Stick Pipe</v>
          </cell>
          <cell r="D315" t="str">
            <v>3.5-4.1</v>
          </cell>
          <cell r="E315">
            <v>9</v>
          </cell>
          <cell r="F315">
            <v>1.4</v>
          </cell>
        </row>
        <row r="316">
          <cell r="B316">
            <v>13234</v>
          </cell>
          <cell r="C316" t="str">
            <v>1 Inch Dia Upvc Pipe (1.9-2.22 ) - White</v>
          </cell>
          <cell r="D316" t="str">
            <v>3.5-4.1</v>
          </cell>
          <cell r="E316">
            <v>10</v>
          </cell>
          <cell r="F316">
            <v>1.2</v>
          </cell>
        </row>
        <row r="317">
          <cell r="B317">
            <v>12844</v>
          </cell>
          <cell r="C317" t="str">
            <v>1.25 Inch Dia UPVC Thread Pipe (Export Thick 4.20-4.40)</v>
          </cell>
          <cell r="D317" t="str">
            <v>2.5-2.6</v>
          </cell>
          <cell r="E317">
            <v>10</v>
          </cell>
          <cell r="F317">
            <v>0</v>
          </cell>
        </row>
        <row r="318">
          <cell r="B318">
            <v>12986</v>
          </cell>
          <cell r="C318" t="str">
            <v>1.5 Inc HDPE Coil Pipe-White</v>
          </cell>
          <cell r="D318" t="str">
            <v>2.5-2.6</v>
          </cell>
          <cell r="E318">
            <v>300</v>
          </cell>
          <cell r="F318">
            <v>35.4</v>
          </cell>
        </row>
        <row r="319">
          <cell r="B319">
            <v>13005</v>
          </cell>
          <cell r="C319" t="str">
            <v>1.5 Inch Dia Upvc Pipe Class – Economy(20 Rft Length)</v>
          </cell>
          <cell r="D319" t="str">
            <v>2.5-2.7</v>
          </cell>
          <cell r="E319">
            <v>20</v>
          </cell>
          <cell r="F319">
            <v>0</v>
          </cell>
        </row>
        <row r="320">
          <cell r="B320">
            <v>12865</v>
          </cell>
          <cell r="C320" t="str">
            <v>1.5 Inch Dia Push Stick Pipe</v>
          </cell>
          <cell r="D320" t="str">
            <v>2.5-2.7</v>
          </cell>
          <cell r="E320">
            <v>10</v>
          </cell>
          <cell r="F320">
            <v>1.8</v>
          </cell>
        </row>
        <row r="321">
          <cell r="B321">
            <v>12906</v>
          </cell>
          <cell r="C321" t="str">
            <v>1.5 Inch Dia Threaded Filter (RIB) Pipe (Thread) MF+FF</v>
          </cell>
          <cell r="D321" t="str">
            <v>2.5-2.7</v>
          </cell>
          <cell r="E321">
            <v>10</v>
          </cell>
          <cell r="F321">
            <v>1.85</v>
          </cell>
        </row>
        <row r="322">
          <cell r="B322">
            <v>13195</v>
          </cell>
          <cell r="C322" t="str">
            <v>1.5 Inch Dia Threaded Filter (RIB) Pipe (Thread) MF+FF-Length-9</v>
          </cell>
          <cell r="D322" t="str">
            <v>2.5-2.7</v>
          </cell>
          <cell r="E322">
            <v>9</v>
          </cell>
          <cell r="F322">
            <v>1.85</v>
          </cell>
        </row>
        <row r="323">
          <cell r="B323">
            <v>13062</v>
          </cell>
          <cell r="C323" t="str">
            <v>1.5 Inch Dia UPVC Pipe Class-Economy- Blue</v>
          </cell>
          <cell r="D323" t="str">
            <v>1.8-1.9</v>
          </cell>
          <cell r="E323">
            <v>20</v>
          </cell>
          <cell r="F323">
            <v>1.6</v>
          </cell>
        </row>
        <row r="324">
          <cell r="B324">
            <v>13255</v>
          </cell>
          <cell r="C324" t="str">
            <v>110 mm Dia UPVC Pipe SWR (Grey)</v>
          </cell>
          <cell r="D324" t="str">
            <v>1.8-2.1</v>
          </cell>
          <cell r="E324">
            <v>20</v>
          </cell>
          <cell r="F324">
            <v>0</v>
          </cell>
        </row>
        <row r="325">
          <cell r="B325">
            <v>12699</v>
          </cell>
          <cell r="C325" t="str">
            <v>110 mm Plain Socket Pipe (3.00)</v>
          </cell>
          <cell r="D325" t="str">
            <v>2.6-2.8</v>
          </cell>
          <cell r="E325">
            <v>20</v>
          </cell>
          <cell r="F325">
            <v>11.3</v>
          </cell>
        </row>
        <row r="326">
          <cell r="B326">
            <v>13259</v>
          </cell>
          <cell r="C326" t="str">
            <v>110mm Dia Upvc PN-16 Pipe Thickness 6.6-7.6 (White)</v>
          </cell>
          <cell r="D326" t="str">
            <v>3.4-4.0</v>
          </cell>
          <cell r="E326">
            <v>20</v>
          </cell>
          <cell r="F326">
            <v>0</v>
          </cell>
        </row>
        <row r="327">
          <cell r="B327">
            <v>12720</v>
          </cell>
          <cell r="C327" t="str">
            <v>110mm Plain Socket Pipe (Gray-2.7)</v>
          </cell>
          <cell r="D327" t="str">
            <v>2.9-3.3</v>
          </cell>
          <cell r="E327">
            <v>10</v>
          </cell>
          <cell r="F327">
            <v>10.199999999999999</v>
          </cell>
        </row>
        <row r="328">
          <cell r="B328">
            <v>13229</v>
          </cell>
          <cell r="C328" t="str">
            <v>110mm Plain Socket Pipe (White- 1.2-1.4)</v>
          </cell>
          <cell r="D328" t="str">
            <v>2.9-3.3</v>
          </cell>
          <cell r="E328">
            <v>20</v>
          </cell>
          <cell r="F328">
            <v>5.45</v>
          </cell>
        </row>
        <row r="329">
          <cell r="B329">
            <v>13230</v>
          </cell>
          <cell r="C329" t="str">
            <v>110mm Plain Socket Pipe (White-1.4-1.6)</v>
          </cell>
          <cell r="D329" t="str">
            <v>2.9-3.3</v>
          </cell>
          <cell r="E329">
            <v>20</v>
          </cell>
          <cell r="F329">
            <v>6.2</v>
          </cell>
        </row>
        <row r="330">
          <cell r="B330">
            <v>12719</v>
          </cell>
          <cell r="C330" t="str">
            <v>110mm Plain Socket Pipe (White-1.6)</v>
          </cell>
          <cell r="D330" t="str">
            <v>2.9-3.3</v>
          </cell>
          <cell r="E330">
            <v>20</v>
          </cell>
          <cell r="F330">
            <v>6.6</v>
          </cell>
        </row>
        <row r="331">
          <cell r="B331">
            <v>13228</v>
          </cell>
          <cell r="C331" t="str">
            <v>110mm Plain Socket Pipe (White-2.1-2.3)</v>
          </cell>
          <cell r="D331" t="str">
            <v>2.9-3.3</v>
          </cell>
          <cell r="E331">
            <v>20</v>
          </cell>
          <cell r="F331">
            <v>8.9</v>
          </cell>
        </row>
        <row r="332">
          <cell r="B332">
            <v>13260</v>
          </cell>
          <cell r="C332" t="str">
            <v>2 Inch Dia Thread Filter Special MF (RIB)</v>
          </cell>
          <cell r="D332" t="str">
            <v>2.5*-3.0</v>
          </cell>
          <cell r="E332">
            <v>10</v>
          </cell>
          <cell r="F332">
            <v>0</v>
          </cell>
        </row>
        <row r="333">
          <cell r="B333">
            <v>11731</v>
          </cell>
          <cell r="C333" t="str">
            <v>2 Inch Dia Threated Filter Speacial 3.0mm</v>
          </cell>
          <cell r="D333" t="str">
            <v>2.5*-3.0</v>
          </cell>
          <cell r="E333">
            <v>10</v>
          </cell>
          <cell r="F333">
            <v>2.75</v>
          </cell>
        </row>
        <row r="334">
          <cell r="B334">
            <v>13059</v>
          </cell>
          <cell r="C334" t="str">
            <v>200 mm Dia Export</v>
          </cell>
          <cell r="D334" t="str">
            <v>2.6-2.8</v>
          </cell>
          <cell r="E334">
            <v>20</v>
          </cell>
          <cell r="F334">
            <v>16</v>
          </cell>
        </row>
        <row r="335">
          <cell r="B335">
            <v>12899</v>
          </cell>
          <cell r="C335" t="str">
            <v>3 Inch Thread Filter (RIB) Pipe (Thread) MF+FF</v>
          </cell>
          <cell r="D335" t="str">
            <v>4.5-5.2</v>
          </cell>
          <cell r="E335">
            <v>10</v>
          </cell>
          <cell r="F335">
            <v>5.85</v>
          </cell>
        </row>
        <row r="336">
          <cell r="B336">
            <v>13058</v>
          </cell>
          <cell r="C336" t="str">
            <v>315mm Dia Upvc Pipe (4.0 Thick)</v>
          </cell>
          <cell r="D336" t="str">
            <v>4.5-5.2</v>
          </cell>
          <cell r="E336">
            <v>20</v>
          </cell>
          <cell r="F336">
            <v>43</v>
          </cell>
        </row>
        <row r="337">
          <cell r="B337">
            <v>12226</v>
          </cell>
          <cell r="C337" t="str">
            <v>315mm Dia Upvc Pipe (4.9 Thickness)</v>
          </cell>
          <cell r="D337" t="str">
            <v>4.5-5.2</v>
          </cell>
          <cell r="E337">
            <v>6</v>
          </cell>
        </row>
        <row r="338">
          <cell r="B338">
            <v>13236</v>
          </cell>
          <cell r="C338" t="str">
            <v>4 Inch Dia Upvc Thread Pipe (3.4-4.0) -Blue</v>
          </cell>
          <cell r="D338" t="str">
            <v>3.2-3.4</v>
          </cell>
          <cell r="E338">
            <v>10</v>
          </cell>
          <cell r="F338">
            <v>55.5</v>
          </cell>
        </row>
        <row r="339">
          <cell r="B339">
            <v>12683</v>
          </cell>
          <cell r="C339" t="str">
            <v>63 mm (2 inch) Plain Socket Pipe</v>
          </cell>
          <cell r="D339" t="str">
            <v>2.2-2.5</v>
          </cell>
          <cell r="E339">
            <v>20</v>
          </cell>
          <cell r="F339">
            <v>5</v>
          </cell>
        </row>
        <row r="340">
          <cell r="B340">
            <v>12768</v>
          </cell>
          <cell r="C340" t="str">
            <v>60 mm (2 inch) Plain Socket Pipe</v>
          </cell>
          <cell r="D340" t="str">
            <v>2.2-2.5</v>
          </cell>
          <cell r="E340">
            <v>20</v>
          </cell>
          <cell r="F340">
            <v>5.05</v>
          </cell>
        </row>
        <row r="341">
          <cell r="B341">
            <v>13233</v>
          </cell>
          <cell r="C341" t="str">
            <v>63 mm Dai Upvc Pipe (1.2-1.4 mm)- White</v>
          </cell>
          <cell r="D341" t="str">
            <v>10.3-11.9</v>
          </cell>
          <cell r="E341">
            <v>20</v>
          </cell>
          <cell r="F341">
            <v>2.88</v>
          </cell>
        </row>
        <row r="342">
          <cell r="B342">
            <v>12700</v>
          </cell>
          <cell r="C342" t="str">
            <v>63 mm Plain Socket Pipe (1.6)</v>
          </cell>
          <cell r="D342" t="str">
            <v>10.3-11.9</v>
          </cell>
          <cell r="E342">
            <v>20</v>
          </cell>
          <cell r="F342">
            <v>3.8</v>
          </cell>
        </row>
        <row r="343">
          <cell r="B343">
            <v>12829</v>
          </cell>
          <cell r="C343" t="str">
            <v>63 mm Plain Socket Pipe (1.6)-White</v>
          </cell>
          <cell r="D343" t="str">
            <v>10.3-11.9</v>
          </cell>
          <cell r="E343">
            <v>20</v>
          </cell>
          <cell r="F343">
            <v>3.8</v>
          </cell>
        </row>
        <row r="344">
          <cell r="B344">
            <v>13257</v>
          </cell>
          <cell r="C344" t="str">
            <v>75 mm Dia UPVC Pipe SWR (Grey)</v>
          </cell>
          <cell r="D344" t="str">
            <v>10.3-11.9</v>
          </cell>
          <cell r="E344">
            <v>20</v>
          </cell>
          <cell r="F344">
            <v>0</v>
          </cell>
        </row>
        <row r="345">
          <cell r="B345">
            <v>13232</v>
          </cell>
          <cell r="C345" t="str">
            <v>75 mm Dai Upvc Pipe (1.2-1.4 mm)- White</v>
          </cell>
          <cell r="D345" t="str">
            <v>10.3-11.9</v>
          </cell>
          <cell r="E345">
            <v>20</v>
          </cell>
          <cell r="F345">
            <v>3.43</v>
          </cell>
        </row>
        <row r="346">
          <cell r="B346">
            <v>12195</v>
          </cell>
          <cell r="C346" t="str">
            <v>75mm Upvc Pipe ISO 1.6mm</v>
          </cell>
          <cell r="D346" t="str">
            <v>10.3-11.9</v>
          </cell>
          <cell r="E346">
            <v>20</v>
          </cell>
          <cell r="F346">
            <v>4.33</v>
          </cell>
        </row>
        <row r="347">
          <cell r="B347">
            <v>12830</v>
          </cell>
          <cell r="C347" t="str">
            <v>75mm Upvc Pipe ISO 1.6mm- White</v>
          </cell>
          <cell r="D347" t="str">
            <v>10.3-11.9</v>
          </cell>
          <cell r="E347">
            <v>20</v>
          </cell>
          <cell r="F347">
            <v>4.33</v>
          </cell>
        </row>
        <row r="348">
          <cell r="B348">
            <v>13231</v>
          </cell>
          <cell r="C348" t="str">
            <v>90 mm Dai Upvc Pipe (1.3-1.5mm)- White</v>
          </cell>
          <cell r="D348" t="str">
            <v>4.3-4.5</v>
          </cell>
          <cell r="E348">
            <v>20</v>
          </cell>
          <cell r="F348">
            <v>4.5</v>
          </cell>
        </row>
        <row r="349">
          <cell r="B349">
            <v>12139</v>
          </cell>
          <cell r="C349" t="str">
            <v>90 mm Dai Upvc Pipe (1.6mm)</v>
          </cell>
          <cell r="D349" t="str">
            <v>4.3-4.5</v>
          </cell>
          <cell r="E349">
            <v>20</v>
          </cell>
          <cell r="F349">
            <v>5.25</v>
          </cell>
        </row>
        <row r="350">
          <cell r="B350">
            <v>12831</v>
          </cell>
          <cell r="C350" t="str">
            <v>90 mm Dai Upvc Pipe (1.6mm)- White</v>
          </cell>
          <cell r="D350" t="str">
            <v>4.3-4.5</v>
          </cell>
          <cell r="E350">
            <v>20</v>
          </cell>
          <cell r="F350">
            <v>5.25</v>
          </cell>
        </row>
        <row r="351">
          <cell r="B351">
            <v>13256</v>
          </cell>
          <cell r="C351" t="str">
            <v>90 mm Dia UPVC Pipe SWR (Grey)</v>
          </cell>
          <cell r="D351" t="str">
            <v>4.3-4.5</v>
          </cell>
          <cell r="E351">
            <v>20</v>
          </cell>
          <cell r="F351">
            <v>0</v>
          </cell>
        </row>
        <row r="352">
          <cell r="B352">
            <v>13194</v>
          </cell>
          <cell r="C352" t="str">
            <v>90mm Plain Socket Pipe Gray-1.6</v>
          </cell>
          <cell r="D352" t="str">
            <v>4.3-4.5</v>
          </cell>
          <cell r="E352">
            <v>20</v>
          </cell>
          <cell r="F352">
            <v>5.25</v>
          </cell>
        </row>
        <row r="353">
          <cell r="B353">
            <v>12898</v>
          </cell>
          <cell r="C353" t="str">
            <v>90mm Plain Socket Pipe Gray-2.8</v>
          </cell>
          <cell r="D353" t="str">
            <v>4.3-4.5</v>
          </cell>
          <cell r="E353">
            <v>20</v>
          </cell>
          <cell r="F353">
            <v>8.8000000000000007</v>
          </cell>
        </row>
        <row r="354">
          <cell r="B354">
            <v>13198</v>
          </cell>
          <cell r="C354" t="str">
            <v>200 MM Dia UPVC Pipe SWR-1 (Mtr)</v>
          </cell>
          <cell r="D354" t="str">
            <v>4.8-5.2</v>
          </cell>
          <cell r="E354">
            <v>6</v>
          </cell>
          <cell r="F354">
            <v>0</v>
          </cell>
        </row>
        <row r="355">
          <cell r="B355">
            <v>12139</v>
          </cell>
          <cell r="C355" t="str">
            <v>90 mm Dai Upvc Pipe (1.6mm)</v>
          </cell>
          <cell r="D355">
            <v>0</v>
          </cell>
          <cell r="E355">
            <v>20</v>
          </cell>
          <cell r="F355">
            <v>5.25</v>
          </cell>
        </row>
        <row r="356">
          <cell r="B356" t="e">
            <v>#N/A</v>
          </cell>
          <cell r="C356" t="str">
            <v>90mm Dia UPVC Pipe (Thickness 3.5 mm)</v>
          </cell>
          <cell r="D356">
            <v>0</v>
          </cell>
          <cell r="E356">
            <v>20</v>
          </cell>
          <cell r="F356">
            <v>10.390625</v>
          </cell>
        </row>
        <row r="357">
          <cell r="B357">
            <v>12923</v>
          </cell>
          <cell r="C357" t="str">
            <v>90mm Plain Socket Pipe White-2.8​</v>
          </cell>
          <cell r="D357">
            <v>0</v>
          </cell>
          <cell r="E357">
            <v>20</v>
          </cell>
          <cell r="F357">
            <v>8.8000000000000007</v>
          </cell>
        </row>
        <row r="358">
          <cell r="B358">
            <v>12231</v>
          </cell>
          <cell r="C358" t="str">
            <v>90mm Plain Socket Pipe (White-1.3-1.5)</v>
          </cell>
          <cell r="D358">
            <v>0</v>
          </cell>
          <cell r="E358">
            <v>20</v>
          </cell>
          <cell r="F358">
            <v>6.45</v>
          </cell>
        </row>
        <row r="359">
          <cell r="B359">
            <v>12831</v>
          </cell>
          <cell r="C359" t="str">
            <v>90 mm Dai Upvc Pipe (1.6mm)- White</v>
          </cell>
          <cell r="D359">
            <v>0</v>
          </cell>
          <cell r="E359">
            <v>20</v>
          </cell>
          <cell r="F359">
            <v>5.25</v>
          </cell>
        </row>
        <row r="360">
          <cell r="B360">
            <v>12898</v>
          </cell>
          <cell r="C360" t="str">
            <v>90mm Plain Socket Pipe Gray-2.8</v>
          </cell>
          <cell r="D360">
            <v>0</v>
          </cell>
          <cell r="E360">
            <v>20</v>
          </cell>
          <cell r="F360">
            <v>8.8000000000000007</v>
          </cell>
        </row>
        <row r="361">
          <cell r="B361">
            <v>12720</v>
          </cell>
          <cell r="C361" t="str">
            <v>110mm Plain Socket Pipe (Gray-2.7)</v>
          </cell>
          <cell r="D361">
            <v>0</v>
          </cell>
          <cell r="E361">
            <v>20</v>
          </cell>
          <cell r="F361">
            <v>10.6</v>
          </cell>
        </row>
        <row r="362">
          <cell r="B362">
            <v>13229</v>
          </cell>
          <cell r="C362" t="str">
            <v>110mm Plain Socket Pipe (White-1.2-1.4)</v>
          </cell>
          <cell r="D362">
            <v>0</v>
          </cell>
          <cell r="E362">
            <v>20</v>
          </cell>
          <cell r="F362">
            <v>6.45</v>
          </cell>
        </row>
        <row r="363">
          <cell r="B363">
            <v>13255</v>
          </cell>
          <cell r="C363" t="str">
            <v>110mm Plain Socket Pipe (Grey-1.2-1.4)</v>
          </cell>
          <cell r="D363">
            <v>0</v>
          </cell>
          <cell r="E363">
            <v>0</v>
          </cell>
          <cell r="F363">
            <v>0</v>
          </cell>
        </row>
        <row r="364">
          <cell r="B364">
            <v>13230</v>
          </cell>
          <cell r="C364" t="str">
            <v>110mm Plain Socket Pipe (White-1.4-1.6)</v>
          </cell>
          <cell r="D364">
            <v>0</v>
          </cell>
          <cell r="E364">
            <v>20</v>
          </cell>
          <cell r="F364">
            <v>6.45</v>
          </cell>
        </row>
        <row r="365">
          <cell r="B365">
            <v>13228</v>
          </cell>
          <cell r="C365" t="str">
            <v>110mm Plain Socket Pipe (White-2.1-2.3)</v>
          </cell>
          <cell r="D365">
            <v>0</v>
          </cell>
          <cell r="E365">
            <v>20</v>
          </cell>
          <cell r="F365">
            <v>6.45</v>
          </cell>
        </row>
        <row r="366">
          <cell r="B366">
            <v>12832</v>
          </cell>
          <cell r="C366" t="str">
            <v>110mm Plain Socket Pipe (1.6mm)-Gray</v>
          </cell>
          <cell r="D366">
            <v>0</v>
          </cell>
          <cell r="E366">
            <v>20</v>
          </cell>
          <cell r="F366">
            <v>6.4</v>
          </cell>
        </row>
        <row r="367">
          <cell r="B367" t="e">
            <v>#N/A</v>
          </cell>
          <cell r="C367" t="str">
            <v>110mm Plain Socket Pipe (1.8mm)-Gray</v>
          </cell>
          <cell r="D367">
            <v>0</v>
          </cell>
          <cell r="E367">
            <v>20</v>
          </cell>
          <cell r="F367">
            <v>7.2</v>
          </cell>
        </row>
        <row r="368">
          <cell r="B368" t="e">
            <v>#N/A</v>
          </cell>
          <cell r="C368" t="str">
            <v>250mm SWR-1 (2.9-3.3) Export</v>
          </cell>
          <cell r="D368">
            <v>0</v>
          </cell>
          <cell r="E368">
            <v>0</v>
          </cell>
          <cell r="F368">
            <v>27</v>
          </cell>
        </row>
        <row r="369">
          <cell r="B369" t="e">
            <v>#N/A</v>
          </cell>
          <cell r="C369" t="str">
            <v>160 mm(2.0-2.22) Export</v>
          </cell>
          <cell r="D369">
            <v>0</v>
          </cell>
          <cell r="E369">
            <v>0</v>
          </cell>
          <cell r="F369">
            <v>12.5</v>
          </cell>
        </row>
        <row r="370">
          <cell r="B370" t="e">
            <v>#N/A</v>
          </cell>
          <cell r="C370" t="str">
            <v>5" Spl Export(1.9-2.3)</v>
          </cell>
          <cell r="D370">
            <v>0</v>
          </cell>
          <cell r="E370">
            <v>0</v>
          </cell>
          <cell r="F370">
            <v>10.5</v>
          </cell>
        </row>
        <row r="371">
          <cell r="B371">
            <v>13699</v>
          </cell>
          <cell r="C371" t="str">
            <v>110 mm Plain Socket Pipe (3.00)</v>
          </cell>
          <cell r="D371">
            <v>0</v>
          </cell>
          <cell r="E371">
            <v>10</v>
          </cell>
          <cell r="F371">
            <v>11.3</v>
          </cell>
        </row>
        <row r="372">
          <cell r="B372" t="e">
            <v>#N/A</v>
          </cell>
          <cell r="C372" t="str">
            <v>160mm Plain Socket Pipe (White-3.2)</v>
          </cell>
          <cell r="D372">
            <v>0</v>
          </cell>
          <cell r="E372">
            <v>20</v>
          </cell>
          <cell r="F372">
            <v>18</v>
          </cell>
        </row>
        <row r="373">
          <cell r="B373" t="e">
            <v>#N/A</v>
          </cell>
          <cell r="C373" t="str">
            <v>160mm Plain Socket Pipe (Gray-3.2)</v>
          </cell>
          <cell r="D373">
            <v>0</v>
          </cell>
          <cell r="E373">
            <v>20</v>
          </cell>
          <cell r="F373">
            <v>18</v>
          </cell>
        </row>
        <row r="374">
          <cell r="B374" t="e">
            <v>#N/A</v>
          </cell>
          <cell r="C374" t="str">
            <v>250mm Socket Pipe (Gray 3.9)</v>
          </cell>
          <cell r="D374">
            <v>0</v>
          </cell>
          <cell r="E374">
            <v>20</v>
          </cell>
          <cell r="F374">
            <v>33</v>
          </cell>
        </row>
        <row r="375">
          <cell r="B375">
            <v>12648</v>
          </cell>
          <cell r="C375" t="str">
            <v>0.5 Inch Dia Push Stick Pipe</v>
          </cell>
          <cell r="D375">
            <v>0</v>
          </cell>
          <cell r="E375">
            <v>10</v>
          </cell>
          <cell r="F375">
            <v>0.9</v>
          </cell>
        </row>
        <row r="376">
          <cell r="B376">
            <v>12649</v>
          </cell>
          <cell r="C376" t="str">
            <v>0.75 Inch Dia Push Stick Pipe</v>
          </cell>
          <cell r="D376">
            <v>0</v>
          </cell>
          <cell r="E376">
            <v>10</v>
          </cell>
          <cell r="F376">
            <v>1.2</v>
          </cell>
        </row>
        <row r="377">
          <cell r="B377">
            <v>12595</v>
          </cell>
          <cell r="C377" t="str">
            <v>1 Inch Dia Push Stick Pipe</v>
          </cell>
          <cell r="D377">
            <v>0</v>
          </cell>
          <cell r="E377">
            <v>10</v>
          </cell>
          <cell r="F377">
            <v>1.4</v>
          </cell>
        </row>
        <row r="378">
          <cell r="B378">
            <v>12865</v>
          </cell>
          <cell r="C378" t="str">
            <v>1.5 Inch Dia Push Stick Pipe</v>
          </cell>
          <cell r="D378">
            <v>0</v>
          </cell>
          <cell r="E378">
            <v>20</v>
          </cell>
          <cell r="F378">
            <v>1.8</v>
          </cell>
        </row>
        <row r="379">
          <cell r="B379">
            <v>0</v>
          </cell>
          <cell r="C379" t="str">
            <v>TENDER PIPE</v>
          </cell>
          <cell r="D379">
            <v>0</v>
          </cell>
          <cell r="E379">
            <v>0</v>
          </cell>
          <cell r="F379">
            <v>0</v>
          </cell>
        </row>
        <row r="380">
          <cell r="B380" t="e">
            <v>#N/A</v>
          </cell>
          <cell r="C380" t="str">
            <v>250 mm DIA SWR PN-3.15</v>
          </cell>
          <cell r="D380">
            <v>0</v>
          </cell>
          <cell r="E380">
            <v>6</v>
          </cell>
          <cell r="F380">
            <v>12</v>
          </cell>
        </row>
        <row r="381">
          <cell r="B381" t="e">
            <v>#N/A</v>
          </cell>
          <cell r="C381" t="str">
            <v>200 mm DIA SWR PN-6</v>
          </cell>
          <cell r="D381">
            <v>0</v>
          </cell>
          <cell r="E381">
            <v>6</v>
          </cell>
          <cell r="F381">
            <v>27.5</v>
          </cell>
        </row>
        <row r="382">
          <cell r="B382" t="e">
            <v>#N/A</v>
          </cell>
          <cell r="C382" t="str">
            <v>1 Inch Dia UPVC Pipe Class-E PN-15</v>
          </cell>
          <cell r="D382">
            <v>0</v>
          </cell>
          <cell r="E382">
            <v>6</v>
          </cell>
          <cell r="F382">
            <v>1.18</v>
          </cell>
        </row>
        <row r="383">
          <cell r="B383">
            <v>13053</v>
          </cell>
          <cell r="C383" t="str">
            <v>160 mm air vent 3.350 mm Green</v>
          </cell>
          <cell r="D383" t="str">
            <v>3.1-3.7</v>
          </cell>
          <cell r="E383">
            <v>6</v>
          </cell>
          <cell r="F383">
            <v>12.2</v>
          </cell>
        </row>
        <row r="384">
          <cell r="B384">
            <v>0</v>
          </cell>
          <cell r="C384" t="str">
            <v>160mm Dia UPVC Pipe   (Thickness-3.1 mm)Bend</v>
          </cell>
          <cell r="D384">
            <v>0</v>
          </cell>
          <cell r="E384">
            <v>6</v>
          </cell>
          <cell r="F384">
            <v>18</v>
          </cell>
        </row>
        <row r="385">
          <cell r="B385">
            <v>0</v>
          </cell>
          <cell r="C385" t="str">
            <v>200 mm Dia Upvc Special Tee Pipe 16'2" (6.2) Grey</v>
          </cell>
          <cell r="D385">
            <v>0</v>
          </cell>
          <cell r="E385">
            <v>6.2</v>
          </cell>
          <cell r="F385">
            <v>34</v>
          </cell>
        </row>
        <row r="386">
          <cell r="B386" t="e">
            <v>#N/A</v>
          </cell>
          <cell r="C386" t="str">
            <v>160mm Dia Upvc Pipe (Thick-3.1)</v>
          </cell>
          <cell r="D386">
            <v>0</v>
          </cell>
          <cell r="E386">
            <v>20</v>
          </cell>
          <cell r="F386">
            <v>17</v>
          </cell>
        </row>
        <row r="387">
          <cell r="B387">
            <v>0</v>
          </cell>
          <cell r="C387" t="str">
            <v xml:space="preserve">160 mm Dia Upvc Special Tee  (4.9) </v>
          </cell>
          <cell r="D387">
            <v>4.9000000000000004</v>
          </cell>
          <cell r="E387">
            <v>22</v>
          </cell>
          <cell r="F387">
            <v>27</v>
          </cell>
        </row>
        <row r="388">
          <cell r="B388" t="e">
            <v>#N/A</v>
          </cell>
          <cell r="C388" t="str">
            <v>180mm Dia UPVC Pipe SWR-1</v>
          </cell>
          <cell r="D388">
            <v>0</v>
          </cell>
          <cell r="E388">
            <v>20</v>
          </cell>
          <cell r="F388">
            <v>15.75</v>
          </cell>
        </row>
        <row r="389">
          <cell r="B389" t="e">
            <v>#N/A</v>
          </cell>
          <cell r="C389" t="str">
            <v>400 mm Dia UPVC Pipe (Thick 12.5)</v>
          </cell>
          <cell r="D389">
            <v>0</v>
          </cell>
          <cell r="E389">
            <v>6</v>
          </cell>
          <cell r="F389">
            <v>150</v>
          </cell>
        </row>
        <row r="390">
          <cell r="B390" t="e">
            <v>#N/A</v>
          </cell>
          <cell r="C390" t="str">
            <v>110mm Dia UPVC Pipe (PN-8)</v>
          </cell>
          <cell r="D390">
            <v>0</v>
          </cell>
          <cell r="E390">
            <v>6</v>
          </cell>
          <cell r="F390">
            <v>11.9</v>
          </cell>
        </row>
        <row r="391">
          <cell r="B391" t="e">
            <v>#N/A</v>
          </cell>
          <cell r="C391" t="str">
            <v>160 mm  Dia  UPVC Pn-8 Filter, 5.6</v>
          </cell>
          <cell r="D391">
            <v>0</v>
          </cell>
          <cell r="E391">
            <v>10</v>
          </cell>
          <cell r="F391">
            <v>12.4</v>
          </cell>
        </row>
        <row r="392">
          <cell r="B392" t="e">
            <v>#N/A</v>
          </cell>
          <cell r="C392" t="str">
            <v>160mm Dia UPVC Pipe (PN-8)</v>
          </cell>
          <cell r="D392">
            <v>0</v>
          </cell>
          <cell r="E392">
            <v>6</v>
          </cell>
          <cell r="F392">
            <v>24.8</v>
          </cell>
        </row>
        <row r="393">
          <cell r="B393">
            <v>12517</v>
          </cell>
          <cell r="C393" t="str">
            <v>225mm Dia UPVC Pipe (2.8-3.10)</v>
          </cell>
          <cell r="D393">
            <v>0</v>
          </cell>
          <cell r="E393">
            <v>20</v>
          </cell>
          <cell r="F393">
            <v>22.5</v>
          </cell>
        </row>
        <row r="394">
          <cell r="B394" t="e">
            <v>#N/A</v>
          </cell>
          <cell r="C394" t="str">
            <v>250mm Dia Upvc Pipe (Thickness 4.1-4.6 mm)</v>
          </cell>
          <cell r="D394">
            <v>0</v>
          </cell>
          <cell r="E394">
            <v>6</v>
          </cell>
          <cell r="F394">
            <v>33</v>
          </cell>
        </row>
        <row r="395">
          <cell r="B395" t="e">
            <v>#N/A</v>
          </cell>
          <cell r="C395" t="str">
            <v>400mm Dia UPVC Pipe (6.3)</v>
          </cell>
          <cell r="D395">
            <v>0</v>
          </cell>
          <cell r="E395">
            <v>6</v>
          </cell>
          <cell r="F395">
            <v>88</v>
          </cell>
        </row>
        <row r="396">
          <cell r="B396" t="e">
            <v>#N/A</v>
          </cell>
          <cell r="C396" t="str">
            <v>450mm Dia UPVC Pipe (8.80)</v>
          </cell>
          <cell r="D396">
            <v>0</v>
          </cell>
          <cell r="E396">
            <v>6.5</v>
          </cell>
          <cell r="F396">
            <v>145</v>
          </cell>
        </row>
        <row r="397">
          <cell r="B397">
            <v>13468</v>
          </cell>
          <cell r="C397" t="str">
            <v>200mm Dia Upvc Pipe SDR-65</v>
          </cell>
          <cell r="D397" t="str">
            <v>3.2-3.6</v>
          </cell>
          <cell r="E397">
            <v>6</v>
          </cell>
          <cell r="F397">
            <v>23</v>
          </cell>
        </row>
        <row r="398">
          <cell r="B398" t="e">
            <v>#N/A</v>
          </cell>
          <cell r="C398" t="str">
            <v>225mm Dia UPVC Pipe(2.80mm)</v>
          </cell>
          <cell r="D398">
            <v>0</v>
          </cell>
          <cell r="E398">
            <v>6</v>
          </cell>
          <cell r="F398">
            <v>18.850000000000001</v>
          </cell>
        </row>
        <row r="399">
          <cell r="B399" t="e">
            <v>#N/A</v>
          </cell>
          <cell r="C399" t="str">
            <v>250mm Dia Upvc Pipe (Including Socket-Thicknes 3.1)</v>
          </cell>
          <cell r="D399">
            <v>0</v>
          </cell>
          <cell r="E399">
            <v>6</v>
          </cell>
          <cell r="F399">
            <v>26.5</v>
          </cell>
        </row>
        <row r="400">
          <cell r="B400" t="e">
            <v>#N/A</v>
          </cell>
          <cell r="C400" t="str">
            <v>250mm Dia UPVC Pipe Thickness 3.1</v>
          </cell>
          <cell r="D400">
            <v>0</v>
          </cell>
          <cell r="E400">
            <v>6</v>
          </cell>
          <cell r="F400">
            <v>26.5</v>
          </cell>
        </row>
        <row r="401">
          <cell r="B401">
            <v>12225</v>
          </cell>
          <cell r="C401" t="str">
            <v>250mm Dia Upvc Pipe (Thickness 3.9)</v>
          </cell>
          <cell r="D401" t="str">
            <v>3.8-4.2</v>
          </cell>
          <cell r="E401">
            <v>6</v>
          </cell>
          <cell r="F401">
            <v>35</v>
          </cell>
        </row>
        <row r="402">
          <cell r="B402">
            <v>12929</v>
          </cell>
          <cell r="C402" t="str">
            <v>250mm Dia Upvc Air Vent Pipe (Thick-5.10-5.30)</v>
          </cell>
          <cell r="D402" t="str">
            <v>3.0-3.2</v>
          </cell>
          <cell r="E402">
            <v>3</v>
          </cell>
          <cell r="F402">
            <v>26.8</v>
          </cell>
        </row>
        <row r="403">
          <cell r="B403">
            <v>12559</v>
          </cell>
          <cell r="C403" t="str">
            <v>250mm Dia Upvc Air Vent Pipe (Thick-4.9mm)</v>
          </cell>
          <cell r="D403">
            <v>4.9000000000000004</v>
          </cell>
          <cell r="E403">
            <v>0</v>
          </cell>
          <cell r="F403">
            <v>0</v>
          </cell>
        </row>
        <row r="404">
          <cell r="B404">
            <v>12941</v>
          </cell>
          <cell r="C404" t="str">
            <v>160 mm UPVC Pipe (Thickness- 3.1)</v>
          </cell>
          <cell r="D404">
            <v>3.1</v>
          </cell>
          <cell r="E404">
            <v>6</v>
          </cell>
          <cell r="F404">
            <v>17.899999999999999</v>
          </cell>
        </row>
        <row r="405">
          <cell r="B405">
            <v>11354</v>
          </cell>
          <cell r="C405" t="str">
            <v>315mm Dia Upvc Pipe (Ft) (4.9 Thick)</v>
          </cell>
          <cell r="D405" t="str">
            <v>4.5-5.2</v>
          </cell>
          <cell r="E405">
            <v>19.68</v>
          </cell>
          <cell r="F405">
            <v>54</v>
          </cell>
        </row>
        <row r="406">
          <cell r="B406">
            <v>13365</v>
          </cell>
          <cell r="C406" t="str">
            <v xml:space="preserve">315 mm Dia Upvc AIR VENT   (3350mm) </v>
          </cell>
          <cell r="D406" t="str">
            <v>5.1-5.3</v>
          </cell>
          <cell r="E406">
            <v>0</v>
          </cell>
          <cell r="F406">
            <v>34.799999999999997</v>
          </cell>
        </row>
        <row r="407">
          <cell r="B407">
            <v>13420</v>
          </cell>
          <cell r="C407" t="str">
            <v>250mm Dia Upvc Air Vent (Thickness 3.9)</v>
          </cell>
          <cell r="D407" t="str">
            <v>3.8-4.2</v>
          </cell>
          <cell r="E407">
            <v>3</v>
          </cell>
          <cell r="F407">
            <v>24.4</v>
          </cell>
        </row>
        <row r="408">
          <cell r="B408">
            <v>11913</v>
          </cell>
          <cell r="C408" t="str">
            <v>250mm Bend 90 (Thickness 3.9)</v>
          </cell>
          <cell r="D408">
            <v>3.9</v>
          </cell>
          <cell r="E408">
            <v>0</v>
          </cell>
          <cell r="F408">
            <v>32</v>
          </cell>
        </row>
        <row r="409">
          <cell r="B409">
            <v>13266</v>
          </cell>
          <cell r="C409" t="str">
            <v xml:space="preserve">200 mm Dia Upvc AIR VENT   (3650mm) </v>
          </cell>
          <cell r="D409">
            <v>3.9</v>
          </cell>
          <cell r="E409">
            <v>0</v>
          </cell>
          <cell r="F409">
            <v>16.5</v>
          </cell>
        </row>
        <row r="410">
          <cell r="B410">
            <v>11352</v>
          </cell>
          <cell r="C410" t="str">
            <v>250mm UPVC Pipe(PN-8)</v>
          </cell>
          <cell r="D410">
            <v>0</v>
          </cell>
          <cell r="E410">
            <v>20</v>
          </cell>
          <cell r="F410">
            <v>54</v>
          </cell>
        </row>
        <row r="411">
          <cell r="B411">
            <v>0</v>
          </cell>
          <cell r="C411" t="str">
            <v>280mm Dia Upvc Pipe PN-8</v>
          </cell>
          <cell r="D411">
            <v>0</v>
          </cell>
          <cell r="E411">
            <v>20</v>
          </cell>
          <cell r="F411">
            <v>76</v>
          </cell>
        </row>
        <row r="412">
          <cell r="B412" t="e">
            <v>#N/A</v>
          </cell>
          <cell r="C412" t="str">
            <v>315mm Tee pipe</v>
          </cell>
          <cell r="D412">
            <v>0</v>
          </cell>
          <cell r="E412">
            <v>6</v>
          </cell>
          <cell r="F412">
            <v>54</v>
          </cell>
        </row>
        <row r="413">
          <cell r="B413">
            <v>12737</v>
          </cell>
          <cell r="C413" t="str">
            <v>315 mm Dia Pipe PN-6.3 (Thickness 7.7-8.0)</v>
          </cell>
          <cell r="D413" t="str">
            <v>7.7-8.7</v>
          </cell>
          <cell r="E413">
            <v>20</v>
          </cell>
          <cell r="F413">
            <v>85</v>
          </cell>
        </row>
        <row r="414">
          <cell r="B414">
            <v>13058</v>
          </cell>
          <cell r="C414" t="str">
            <v>315mm Dia Upvc Pipe ( Thick 4.9mm)</v>
          </cell>
          <cell r="D414">
            <v>0</v>
          </cell>
          <cell r="E414">
            <v>20</v>
          </cell>
          <cell r="F414">
            <v>54</v>
          </cell>
        </row>
        <row r="415">
          <cell r="B415">
            <v>12226</v>
          </cell>
          <cell r="C415" t="str">
            <v>315mm Dia Upvc Pipe (4.9 Thick)</v>
          </cell>
          <cell r="D415">
            <v>0</v>
          </cell>
          <cell r="E415">
            <v>0</v>
          </cell>
          <cell r="F415">
            <v>54</v>
          </cell>
        </row>
        <row r="416">
          <cell r="B416">
            <v>13267</v>
          </cell>
          <cell r="C416" t="str">
            <v>200 mm Tee(6.2)</v>
          </cell>
          <cell r="D416">
            <v>0</v>
          </cell>
          <cell r="E416">
            <v>20</v>
          </cell>
          <cell r="F416">
            <v>96</v>
          </cell>
        </row>
        <row r="417">
          <cell r="B417" t="e">
            <v>#N/A</v>
          </cell>
          <cell r="C417" t="str">
            <v>312-315mm Dia Upvc Pipe (4.9 Thickness)</v>
          </cell>
          <cell r="D417">
            <v>0</v>
          </cell>
          <cell r="E417">
            <v>6</v>
          </cell>
          <cell r="F417">
            <v>53</v>
          </cell>
        </row>
        <row r="418">
          <cell r="B418" t="e">
            <v>#N/A</v>
          </cell>
          <cell r="C418" t="str">
            <v>200 mm Dia Upvc Air vent 20' Pipe  (3.2) Green</v>
          </cell>
          <cell r="D418">
            <v>0</v>
          </cell>
          <cell r="E418">
            <v>3.2</v>
          </cell>
          <cell r="F418">
            <v>23</v>
          </cell>
        </row>
        <row r="419">
          <cell r="B419" t="e">
            <v>#N/A</v>
          </cell>
          <cell r="C419" t="str">
            <v>315mm Upvc Pipe (Thickness 8.00mm)</v>
          </cell>
          <cell r="D419">
            <v>0</v>
          </cell>
          <cell r="E419">
            <v>6</v>
          </cell>
          <cell r="F419">
            <v>86.530612244897952</v>
          </cell>
        </row>
        <row r="420">
          <cell r="B420" t="e">
            <v>#N/A</v>
          </cell>
          <cell r="C420" t="str">
            <v>315mm Dia UPVC Pipe (11.00mm)-Mtr</v>
          </cell>
          <cell r="D420">
            <v>0</v>
          </cell>
          <cell r="E420">
            <v>6</v>
          </cell>
          <cell r="F420">
            <v>104</v>
          </cell>
        </row>
        <row r="421">
          <cell r="B421">
            <v>13427</v>
          </cell>
          <cell r="C421" t="str">
            <v>250mm Dia Upvc Pipe (7.7 Thickness)</v>
          </cell>
          <cell r="D421">
            <v>0</v>
          </cell>
          <cell r="E421">
            <v>5</v>
          </cell>
          <cell r="F421">
            <v>52</v>
          </cell>
        </row>
        <row r="422">
          <cell r="B422">
            <v>12556</v>
          </cell>
          <cell r="C422" t="str">
            <v>250mm Dia Upvc Pipe (4.9 Thickness)</v>
          </cell>
          <cell r="D422">
            <v>0</v>
          </cell>
          <cell r="E422">
            <v>0</v>
          </cell>
          <cell r="F422">
            <v>0</v>
          </cell>
        </row>
        <row r="423">
          <cell r="B423" t="e">
            <v>#N/A</v>
          </cell>
          <cell r="C423" t="str">
            <v>250mm Dia UPVC Pipe  (Thickness 3.9)</v>
          </cell>
          <cell r="D423">
            <v>0</v>
          </cell>
          <cell r="E423">
            <v>0</v>
          </cell>
          <cell r="F423">
            <v>32</v>
          </cell>
        </row>
        <row r="424">
          <cell r="B424">
            <v>13264</v>
          </cell>
          <cell r="C424" t="str">
            <v>200mm Dia UPVC Pipe  SDR-65 (Thickness 3.2)</v>
          </cell>
          <cell r="D424">
            <v>0</v>
          </cell>
          <cell r="E424">
            <v>6</v>
          </cell>
          <cell r="F424">
            <v>45.8</v>
          </cell>
        </row>
        <row r="425">
          <cell r="B425">
            <v>13472</v>
          </cell>
          <cell r="C425" t="str">
            <v>200 mm Dia Upvc AIR VENT Pipe  (3.2)</v>
          </cell>
          <cell r="D425">
            <v>0</v>
          </cell>
          <cell r="E425">
            <v>0</v>
          </cell>
          <cell r="F425">
            <v>11.5</v>
          </cell>
        </row>
        <row r="426">
          <cell r="B426" t="e">
            <v>#N/A</v>
          </cell>
          <cell r="C426" t="str">
            <v>400mm Dia PN 8 (12.3mm Thick)</v>
          </cell>
          <cell r="D426">
            <v>0</v>
          </cell>
          <cell r="E426">
            <v>6</v>
          </cell>
          <cell r="F426">
            <v>140</v>
          </cell>
        </row>
        <row r="427">
          <cell r="B427">
            <v>12509</v>
          </cell>
          <cell r="C427" t="str">
            <v>400mm Dia UPVC Pipe (6.3)</v>
          </cell>
          <cell r="D427">
            <v>0</v>
          </cell>
          <cell r="E427">
            <v>6</v>
          </cell>
          <cell r="F427">
            <v>85.5</v>
          </cell>
        </row>
        <row r="428">
          <cell r="B428">
            <v>0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pvc Pipe sales (2)"/>
      <sheetName val="Master File (2)"/>
      <sheetName val="Jan"/>
      <sheetName val="Pipe (2)"/>
      <sheetName val="Pipe"/>
      <sheetName val="Production Plan "/>
      <sheetName val="Sheet15"/>
      <sheetName val="Sheet16"/>
      <sheetName val="Sheet13"/>
      <sheetName val="Sheet"/>
      <sheetName val="Sheet3"/>
      <sheetName val="Sheet1"/>
      <sheetName val="Sheet2"/>
      <sheetName val="Noter Sheet"/>
      <sheetName val="Sheet4"/>
      <sheetName val="Sheet6"/>
      <sheetName val="Sheet7"/>
      <sheetName val="Note Sheet"/>
      <sheetName val="Sheet8"/>
      <sheetName val="Sheet5"/>
      <sheetName val="Sheet10"/>
      <sheetName val="Sheet9"/>
      <sheetName val="Sheet11"/>
      <sheetName val="Sheet14"/>
      <sheetName val="Sheet1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7">
          <cell r="B7">
            <v>11102</v>
          </cell>
          <cell r="C7" t="str">
            <v>0.5 Inch Dia Upvc Pipe Class-D</v>
          </cell>
          <cell r="D7" t="str">
            <v>1.3-1.4</v>
          </cell>
          <cell r="E7">
            <v>10</v>
          </cell>
          <cell r="F7">
            <v>0.48</v>
          </cell>
          <cell r="G7" t="str">
            <v>Grey</v>
          </cell>
        </row>
        <row r="8">
          <cell r="B8">
            <v>11101</v>
          </cell>
          <cell r="C8" t="str">
            <v>0.5 Inch Dia UPVC Pipe Class-E</v>
          </cell>
          <cell r="D8" t="str">
            <v>1.7-2.1</v>
          </cell>
          <cell r="E8">
            <v>10</v>
          </cell>
          <cell r="F8">
            <v>0.61</v>
          </cell>
          <cell r="G8" t="str">
            <v>Grey</v>
          </cell>
        </row>
        <row r="9">
          <cell r="B9">
            <v>11103</v>
          </cell>
          <cell r="C9" t="str">
            <v>0.75 Inch Dia Upvc Pipe Class-D</v>
          </cell>
          <cell r="D9" t="str">
            <v>1.4-1.5</v>
          </cell>
          <cell r="E9">
            <v>10</v>
          </cell>
          <cell r="F9">
            <v>0.6</v>
          </cell>
          <cell r="G9" t="str">
            <v>Grey</v>
          </cell>
        </row>
        <row r="10">
          <cell r="B10">
            <v>11104</v>
          </cell>
          <cell r="C10" t="str">
            <v>0.75 Inch Dia UPVC Pipe Class-E</v>
          </cell>
          <cell r="D10" t="str">
            <v>1.9-2.5</v>
          </cell>
          <cell r="E10">
            <v>10</v>
          </cell>
          <cell r="F10">
            <v>0.85</v>
          </cell>
          <cell r="G10" t="str">
            <v>Grey</v>
          </cell>
        </row>
        <row r="11">
          <cell r="B11">
            <v>11105</v>
          </cell>
          <cell r="C11" t="str">
            <v>1 Inch Dia Upvc Pipe Class-D</v>
          </cell>
          <cell r="D11" t="str">
            <v>1.6-1.7</v>
          </cell>
          <cell r="E11">
            <v>10</v>
          </cell>
          <cell r="F11">
            <v>0.85</v>
          </cell>
          <cell r="G11" t="str">
            <v>Grey</v>
          </cell>
        </row>
        <row r="12">
          <cell r="B12">
            <v>11106</v>
          </cell>
          <cell r="C12" t="str">
            <v>1 Inch Dia UPVC Pipe Class-E</v>
          </cell>
          <cell r="D12" t="str">
            <v>2.2-2.7</v>
          </cell>
          <cell r="E12">
            <v>10</v>
          </cell>
          <cell r="F12">
            <v>1.38</v>
          </cell>
          <cell r="G12" t="str">
            <v>Grey</v>
          </cell>
        </row>
        <row r="13">
          <cell r="B13">
            <v>11107</v>
          </cell>
          <cell r="C13" t="str">
            <v>1.25 Inch Dia UPVC Pipe Class-D</v>
          </cell>
          <cell r="D13" t="str">
            <v>2.2-2.7</v>
          </cell>
          <cell r="E13">
            <v>15</v>
          </cell>
          <cell r="F13">
            <v>2.2000000000000002</v>
          </cell>
          <cell r="G13" t="str">
            <v>Grey</v>
          </cell>
        </row>
        <row r="14">
          <cell r="B14">
            <v>13186</v>
          </cell>
          <cell r="C14" t="str">
            <v>1.25 Inch Dia UPVC Pipe Class-E</v>
          </cell>
          <cell r="D14" t="str">
            <v>2.7-3.2</v>
          </cell>
          <cell r="E14">
            <v>15</v>
          </cell>
          <cell r="F14">
            <v>2.8</v>
          </cell>
          <cell r="G14" t="str">
            <v>Grey</v>
          </cell>
        </row>
        <row r="15">
          <cell r="B15">
            <v>11122</v>
          </cell>
          <cell r="C15" t="str">
            <v>1.5 Inch Dia Upvc Pipe Class D-SP ( Grey)</v>
          </cell>
          <cell r="D15" t="str">
            <v>2.5-3.0</v>
          </cell>
          <cell r="E15">
            <v>15</v>
          </cell>
          <cell r="F15">
            <v>2.85</v>
          </cell>
          <cell r="G15" t="str">
            <v>Grey</v>
          </cell>
        </row>
        <row r="16">
          <cell r="B16">
            <v>13346</v>
          </cell>
          <cell r="C16" t="str">
            <v>1.5 Inch Dia Upvc Pipe Class D-SP ( Grey)(S)</v>
          </cell>
          <cell r="D16" t="str">
            <v>2.2-2.5</v>
          </cell>
          <cell r="E16">
            <v>15</v>
          </cell>
          <cell r="F16">
            <v>2.75</v>
          </cell>
          <cell r="G16" t="str">
            <v>Grey</v>
          </cell>
        </row>
        <row r="17">
          <cell r="B17">
            <v>13281</v>
          </cell>
          <cell r="C17" t="str">
            <v>1.5 Inch Dia Upvc Pipe Class D ( Grey) As Like BS</v>
          </cell>
          <cell r="D17" t="str">
            <v>2.5-3.0</v>
          </cell>
          <cell r="E17">
            <v>15</v>
          </cell>
          <cell r="F17">
            <v>2.85</v>
          </cell>
          <cell r="G17" t="str">
            <v>Grey</v>
          </cell>
        </row>
        <row r="18">
          <cell r="B18">
            <v>11121</v>
          </cell>
          <cell r="C18" t="str">
            <v>1.5 Inch Dia Upvc Pipe Class D-SP (White)</v>
          </cell>
          <cell r="D18" t="str">
            <v>2.5-3.0</v>
          </cell>
          <cell r="E18">
            <v>15</v>
          </cell>
          <cell r="F18">
            <v>2.85</v>
          </cell>
          <cell r="G18" t="str">
            <v>White</v>
          </cell>
        </row>
        <row r="19">
          <cell r="B19">
            <v>13246</v>
          </cell>
          <cell r="C19" t="str">
            <v xml:space="preserve">1.5 Inch Dia Upvc Pipe Class D-SP (White) As Like BS </v>
          </cell>
          <cell r="D19" t="str">
            <v>2.5-3.3</v>
          </cell>
          <cell r="E19">
            <v>15</v>
          </cell>
          <cell r="F19">
            <v>2.85</v>
          </cell>
          <cell r="G19" t="str">
            <v>White</v>
          </cell>
        </row>
        <row r="20">
          <cell r="B20">
            <v>13345</v>
          </cell>
          <cell r="C20" t="str">
            <v>1.5 Inch Dia Upvc Pipe Class D-SP (White)(S)</v>
          </cell>
          <cell r="D20" t="str">
            <v>2.2-2.5</v>
          </cell>
          <cell r="E20">
            <v>15</v>
          </cell>
          <cell r="F20">
            <v>2.75</v>
          </cell>
          <cell r="G20" t="str">
            <v>White</v>
          </cell>
        </row>
        <row r="21">
          <cell r="B21">
            <v>13397</v>
          </cell>
          <cell r="C21" t="str">
            <v>1.5 Inch Dia Upvc Pipe Class D-SP (Br)</v>
          </cell>
          <cell r="D21" t="str">
            <v>2.5-2.6</v>
          </cell>
          <cell r="E21">
            <v>15</v>
          </cell>
          <cell r="F21">
            <v>2.85</v>
          </cell>
          <cell r="G21" t="str">
            <v>Grey</v>
          </cell>
        </row>
        <row r="22">
          <cell r="B22">
            <v>11124</v>
          </cell>
          <cell r="C22" t="str">
            <v>1.5 Inch Dia Upvc Pipe Class Special - SP (Grey)</v>
          </cell>
          <cell r="D22" t="str">
            <v>1.8-1.9</v>
          </cell>
          <cell r="E22">
            <v>15</v>
          </cell>
          <cell r="F22">
            <v>2.2000000000000002</v>
          </cell>
          <cell r="G22" t="str">
            <v>Grey</v>
          </cell>
        </row>
        <row r="23">
          <cell r="B23">
            <v>11123</v>
          </cell>
          <cell r="C23" t="str">
            <v>1.5 Inch Dia Upvc Pipe Class Special - SP (White)</v>
          </cell>
          <cell r="D23" t="str">
            <v>1.8-1.9</v>
          </cell>
          <cell r="E23">
            <v>15</v>
          </cell>
          <cell r="F23">
            <v>2.2000000000000002</v>
          </cell>
          <cell r="G23" t="str">
            <v>White</v>
          </cell>
        </row>
        <row r="24">
          <cell r="B24">
            <v>11113</v>
          </cell>
          <cell r="C24" t="str">
            <v>1.5 Inch Dia UPVC Pipe Class-D</v>
          </cell>
          <cell r="D24" t="str">
            <v>2.5-3.0</v>
          </cell>
          <cell r="E24">
            <v>15</v>
          </cell>
          <cell r="F24">
            <v>2.65</v>
          </cell>
          <cell r="G24" t="str">
            <v>Grey</v>
          </cell>
        </row>
        <row r="25">
          <cell r="B25">
            <v>12086</v>
          </cell>
          <cell r="C25" t="str">
            <v>1.5 Inch Dia Upvc Pipe Class-D (White)</v>
          </cell>
          <cell r="D25" t="str">
            <v>2.5-3.0</v>
          </cell>
          <cell r="E25">
            <v>15</v>
          </cell>
          <cell r="F25">
            <v>2.65</v>
          </cell>
          <cell r="G25" t="str">
            <v>White</v>
          </cell>
        </row>
        <row r="26">
          <cell r="B26">
            <v>12504</v>
          </cell>
          <cell r="C26" t="str">
            <v>1.5 Inch Dia UPVC Pipe Class-E</v>
          </cell>
          <cell r="D26" t="str">
            <v>3.1-3.7</v>
          </cell>
          <cell r="E26">
            <v>15</v>
          </cell>
          <cell r="F26">
            <v>3.7</v>
          </cell>
          <cell r="G26" t="str">
            <v>Grey</v>
          </cell>
        </row>
        <row r="27">
          <cell r="B27">
            <v>11108</v>
          </cell>
          <cell r="C27" t="str">
            <v>1.5 Inch Dia UPVC Pipe Class-Economy</v>
          </cell>
          <cell r="D27" t="str">
            <v>1.5-1.7</v>
          </cell>
          <cell r="E27">
            <v>15</v>
          </cell>
          <cell r="F27">
            <v>1.8</v>
          </cell>
          <cell r="G27" t="str">
            <v>White</v>
          </cell>
        </row>
        <row r="28">
          <cell r="B28">
            <v>13359</v>
          </cell>
          <cell r="C28" t="str">
            <v>uPVC Pipe 1.5 Inch x 15 Ft Class-Economy (S)</v>
          </cell>
          <cell r="D28" t="str">
            <v>1.3-1.5</v>
          </cell>
          <cell r="E28">
            <v>15</v>
          </cell>
          <cell r="F28">
            <v>1.72</v>
          </cell>
          <cell r="G28" t="str">
            <v>White</v>
          </cell>
        </row>
        <row r="29">
          <cell r="B29">
            <v>13360</v>
          </cell>
          <cell r="C29" t="str">
            <v>uPVC Pipe 1.5 Inch x 15 Ft Class-Special (S)</v>
          </cell>
          <cell r="D29" t="str">
            <v>1.8-1.9</v>
          </cell>
          <cell r="E29">
            <v>15</v>
          </cell>
          <cell r="F29">
            <v>2.2799999999999998</v>
          </cell>
          <cell r="G29" t="str">
            <v>White</v>
          </cell>
        </row>
        <row r="30">
          <cell r="B30">
            <v>11116</v>
          </cell>
          <cell r="C30" t="str">
            <v>1.5 Inch Dia UPVC Pipe Class-Special</v>
          </cell>
          <cell r="D30" t="str">
            <v>1.8-1.9</v>
          </cell>
          <cell r="E30">
            <v>15</v>
          </cell>
          <cell r="F30">
            <v>2.2000000000000002</v>
          </cell>
          <cell r="G30" t="str">
            <v>White</v>
          </cell>
        </row>
        <row r="31">
          <cell r="B31">
            <v>11120</v>
          </cell>
          <cell r="C31" t="str">
            <v>1.5 Inch Dia UPVC Pipe Class-Super</v>
          </cell>
          <cell r="D31" t="str">
            <v>2.2-2.3</v>
          </cell>
          <cell r="E31">
            <v>15</v>
          </cell>
          <cell r="F31">
            <v>2.2000000000000002</v>
          </cell>
          <cell r="G31" t="str">
            <v>Grey</v>
          </cell>
        </row>
        <row r="32">
          <cell r="B32">
            <v>11130</v>
          </cell>
          <cell r="C32" t="str">
            <v>2 Inch Dia UPVC Pipe Class D</v>
          </cell>
          <cell r="D32" t="str">
            <v>3.1-3.3</v>
          </cell>
          <cell r="E32">
            <v>15</v>
          </cell>
          <cell r="F32">
            <v>4.0999999999999996</v>
          </cell>
          <cell r="G32" t="str">
            <v>Grey</v>
          </cell>
        </row>
        <row r="33">
          <cell r="B33">
            <v>12968</v>
          </cell>
          <cell r="C33" t="str">
            <v>2 Inch Dia UPVC Pipe Class D Diamond</v>
          </cell>
          <cell r="D33" t="str">
            <v>3.1-3.3</v>
          </cell>
          <cell r="E33">
            <v>15</v>
          </cell>
          <cell r="F33">
            <v>4.0999999999999996</v>
          </cell>
          <cell r="G33" t="str">
            <v>Grey</v>
          </cell>
        </row>
        <row r="34">
          <cell r="B34">
            <v>12992</v>
          </cell>
          <cell r="C34" t="str">
            <v>2 Inch Dia UPVC Pipe Class D Special</v>
          </cell>
          <cell r="D34" t="str">
            <v>3.1-3.3</v>
          </cell>
          <cell r="E34">
            <v>15</v>
          </cell>
          <cell r="F34">
            <v>4.0999999999999996</v>
          </cell>
          <cell r="G34" t="str">
            <v>Grey</v>
          </cell>
        </row>
        <row r="35">
          <cell r="B35">
            <v>11128</v>
          </cell>
          <cell r="C35" t="str">
            <v>2 Inch Dia UPVC Pipe Class-C</v>
          </cell>
          <cell r="D35" t="str">
            <v>2.50-3.00</v>
          </cell>
          <cell r="E35">
            <v>15</v>
          </cell>
          <cell r="F35">
            <v>3.4</v>
          </cell>
          <cell r="G35" t="str">
            <v>Grey</v>
          </cell>
        </row>
        <row r="36">
          <cell r="B36">
            <v>12736</v>
          </cell>
          <cell r="C36" t="str">
            <v>2 Inch Dia Upvc Pipe Class-E</v>
          </cell>
          <cell r="D36" t="str">
            <v>3.9-4.5</v>
          </cell>
          <cell r="E36">
            <v>15</v>
          </cell>
          <cell r="F36">
            <v>5.3</v>
          </cell>
          <cell r="G36" t="str">
            <v>Grey</v>
          </cell>
        </row>
        <row r="37">
          <cell r="B37">
            <v>12974</v>
          </cell>
          <cell r="C37" t="str">
            <v>2 Inch Dia Upvc Pipe Class-E Diamond</v>
          </cell>
          <cell r="D37" t="str">
            <v>3.9-4.5</v>
          </cell>
          <cell r="E37">
            <v>15</v>
          </cell>
          <cell r="F37">
            <v>5.3</v>
          </cell>
          <cell r="G37" t="str">
            <v>Grey</v>
          </cell>
        </row>
        <row r="38">
          <cell r="B38">
            <v>12994</v>
          </cell>
          <cell r="C38" t="str">
            <v>2 Inch Dia Upvc Pipe Class-E Special</v>
          </cell>
          <cell r="D38" t="str">
            <v>3.9-4.5</v>
          </cell>
          <cell r="E38">
            <v>15</v>
          </cell>
          <cell r="F38">
            <v>5.3</v>
          </cell>
          <cell r="G38" t="str">
            <v>Grey</v>
          </cell>
        </row>
        <row r="39">
          <cell r="B39">
            <v>12536</v>
          </cell>
          <cell r="C39" t="str">
            <v>2 Inch Dia Upvc Pipe Star (Gray)</v>
          </cell>
          <cell r="D39" t="str">
            <v>2.5-2.8</v>
          </cell>
          <cell r="E39">
            <v>15</v>
          </cell>
          <cell r="F39">
            <v>4.0999999999999996</v>
          </cell>
          <cell r="G39" t="str">
            <v>Grey</v>
          </cell>
        </row>
        <row r="40">
          <cell r="B40">
            <v>12955</v>
          </cell>
          <cell r="C40" t="str">
            <v>2 Inch Dia UPVC Pipe Supper</v>
          </cell>
          <cell r="D40">
            <v>0</v>
          </cell>
          <cell r="E40">
            <v>15</v>
          </cell>
          <cell r="F40">
            <v>3.8</v>
          </cell>
          <cell r="G40" t="str">
            <v>Grey</v>
          </cell>
        </row>
        <row r="41">
          <cell r="B41">
            <v>11125</v>
          </cell>
          <cell r="C41" t="str">
            <v>2 Inch Dia Upvc Sanitary Pipe Special</v>
          </cell>
          <cell r="D41" t="str">
            <v>1.5-1.7</v>
          </cell>
          <cell r="E41">
            <v>15</v>
          </cell>
          <cell r="F41">
            <v>2.5</v>
          </cell>
          <cell r="G41" t="str">
            <v>Grey</v>
          </cell>
        </row>
        <row r="42">
          <cell r="B42">
            <v>13315</v>
          </cell>
          <cell r="C42" t="str">
            <v>2.5 Inch Dia Upvc Pipe Class-C</v>
          </cell>
          <cell r="D42" t="str">
            <v>3.3-3.5</v>
          </cell>
          <cell r="E42">
            <v>20</v>
          </cell>
          <cell r="F42">
            <v>7.87</v>
          </cell>
          <cell r="G42" t="str">
            <v>Grey</v>
          </cell>
        </row>
        <row r="43">
          <cell r="B43">
            <v>12579</v>
          </cell>
          <cell r="C43" t="str">
            <v>3 Inc Dia Pipe Class C-SPL</v>
          </cell>
          <cell r="D43" t="str">
            <v>2.9-3.4</v>
          </cell>
          <cell r="E43">
            <v>20</v>
          </cell>
          <cell r="F43">
            <v>9</v>
          </cell>
          <cell r="G43" t="str">
            <v>Grey</v>
          </cell>
        </row>
        <row r="44">
          <cell r="B44">
            <v>13251</v>
          </cell>
          <cell r="C44" t="str">
            <v>3 Inc Dia Pipe Class C-SPL(3.0)</v>
          </cell>
          <cell r="D44">
            <v>3</v>
          </cell>
          <cell r="E44">
            <v>20</v>
          </cell>
          <cell r="F44">
            <v>8.4</v>
          </cell>
          <cell r="G44" t="str">
            <v>Grey</v>
          </cell>
        </row>
        <row r="45">
          <cell r="B45">
            <v>13205</v>
          </cell>
          <cell r="C45" t="str">
            <v>3 Inc Dia Pipe Class D-Special</v>
          </cell>
          <cell r="D45" t="str">
            <v>4.6-5.3</v>
          </cell>
          <cell r="E45">
            <v>20</v>
          </cell>
          <cell r="F45">
            <v>11.8</v>
          </cell>
          <cell r="G45" t="str">
            <v>Grey</v>
          </cell>
        </row>
        <row r="46">
          <cell r="B46">
            <v>11139</v>
          </cell>
          <cell r="C46" t="str">
            <v>3 Inch Dia UPVC Pipe Class D</v>
          </cell>
          <cell r="D46" t="str">
            <v>4.6-5.3</v>
          </cell>
          <cell r="E46">
            <v>19.68</v>
          </cell>
          <cell r="F46">
            <v>11.8</v>
          </cell>
          <cell r="G46" t="str">
            <v>Grey</v>
          </cell>
        </row>
        <row r="47">
          <cell r="B47">
            <v>12100</v>
          </cell>
          <cell r="C47" t="str">
            <v>3 Inch Dia UPVC Pipe Class E</v>
          </cell>
          <cell r="D47" t="str">
            <v>5.7-6.6</v>
          </cell>
          <cell r="E47">
            <v>20</v>
          </cell>
          <cell r="F47">
            <v>16.5</v>
          </cell>
          <cell r="G47" t="str">
            <v>Grey</v>
          </cell>
        </row>
        <row r="48">
          <cell r="B48">
            <v>11135</v>
          </cell>
          <cell r="C48" t="str">
            <v>3 Inch Dia UPVC Pipe Class-B</v>
          </cell>
          <cell r="D48" t="str">
            <v>2.9-3.4</v>
          </cell>
          <cell r="E48">
            <v>20</v>
          </cell>
          <cell r="F48">
            <v>7.8</v>
          </cell>
          <cell r="G48" t="str">
            <v>Grey</v>
          </cell>
        </row>
        <row r="49">
          <cell r="B49">
            <v>11137</v>
          </cell>
          <cell r="C49" t="str">
            <v>3 Inch Dia UPVC Pipe Class-C</v>
          </cell>
          <cell r="D49" t="str">
            <v>3.5-4.1</v>
          </cell>
          <cell r="E49">
            <v>19.68</v>
          </cell>
          <cell r="F49">
            <v>9.5</v>
          </cell>
          <cell r="G49" t="str">
            <v>Grey</v>
          </cell>
        </row>
        <row r="50">
          <cell r="B50">
            <v>11133</v>
          </cell>
          <cell r="C50" t="str">
            <v>3 Inch Dia Upvc Pipe-Star (2.7 Thickness)</v>
          </cell>
          <cell r="D50" t="str">
            <v>2.6-2.9</v>
          </cell>
          <cell r="E50">
            <v>15</v>
          </cell>
          <cell r="F50">
            <v>6</v>
          </cell>
          <cell r="G50" t="str">
            <v>Grey</v>
          </cell>
        </row>
        <row r="51">
          <cell r="B51">
            <v>11132</v>
          </cell>
          <cell r="C51" t="str">
            <v>3 Inch Dia Upvc Pipe-Star (2.7 Thickness) - 20 Feet</v>
          </cell>
          <cell r="D51" t="str">
            <v>2.6-2.9</v>
          </cell>
          <cell r="E51">
            <v>20</v>
          </cell>
          <cell r="F51">
            <v>8</v>
          </cell>
          <cell r="G51" t="str">
            <v>Grey</v>
          </cell>
        </row>
        <row r="52">
          <cell r="B52">
            <v>11126</v>
          </cell>
          <cell r="C52" t="str">
            <v>3 Inch Dia Upvc Sanitary Pipe Special</v>
          </cell>
          <cell r="D52" t="str">
            <v>1.6-1.8</v>
          </cell>
          <cell r="E52">
            <v>20</v>
          </cell>
          <cell r="F52">
            <v>4.5999999999999996</v>
          </cell>
          <cell r="G52" t="str">
            <v>Grey</v>
          </cell>
        </row>
        <row r="53">
          <cell r="B53">
            <v>11202</v>
          </cell>
          <cell r="C53" t="str">
            <v>4 Inch Dia Class -C SPL</v>
          </cell>
          <cell r="D53" t="str">
            <v>4.5-5.2</v>
          </cell>
          <cell r="E53">
            <v>20</v>
          </cell>
          <cell r="F53">
            <v>16</v>
          </cell>
          <cell r="G53" t="str">
            <v>Grey</v>
          </cell>
        </row>
        <row r="54">
          <cell r="B54">
            <v>13238</v>
          </cell>
          <cell r="C54" t="str">
            <v>4 Inch Dia Class -C SPL(4.50)</v>
          </cell>
          <cell r="D54">
            <v>4.5</v>
          </cell>
          <cell r="E54">
            <v>20</v>
          </cell>
          <cell r="F54">
            <v>15.5</v>
          </cell>
          <cell r="G54" t="str">
            <v>Grey</v>
          </cell>
        </row>
        <row r="55">
          <cell r="B55">
            <v>11145</v>
          </cell>
          <cell r="C55" t="str">
            <v>4 Inch Dia UPVC Pipe Class-B</v>
          </cell>
          <cell r="D55" t="str">
            <v>3.4-4.0</v>
          </cell>
          <cell r="E55">
            <v>20</v>
          </cell>
          <cell r="F55">
            <v>11.8</v>
          </cell>
          <cell r="G55" t="str">
            <v>Grey</v>
          </cell>
        </row>
        <row r="56">
          <cell r="B56">
            <v>11147</v>
          </cell>
          <cell r="C56" t="str">
            <v>4 Inch Dia UPVC Pipe Class-C</v>
          </cell>
          <cell r="D56" t="str">
            <v>4.5-5.2</v>
          </cell>
          <cell r="E56">
            <v>20</v>
          </cell>
          <cell r="F56">
            <v>15.3</v>
          </cell>
          <cell r="G56" t="str">
            <v>Grey</v>
          </cell>
        </row>
        <row r="57">
          <cell r="B57">
            <v>11149</v>
          </cell>
          <cell r="C57" t="str">
            <v>4 Inch Dia UPVC Pipe Class-D</v>
          </cell>
          <cell r="D57" t="str">
            <v>6.0-6.9</v>
          </cell>
          <cell r="E57">
            <v>20</v>
          </cell>
          <cell r="F57">
            <v>19.600000000000001</v>
          </cell>
          <cell r="G57" t="str">
            <v>Grey</v>
          </cell>
        </row>
        <row r="58">
          <cell r="B58">
            <v>12949</v>
          </cell>
          <cell r="C58" t="str">
            <v>4 Inch Dia UPVC Pipe Class-D Special</v>
          </cell>
          <cell r="D58" t="str">
            <v>6.0-6.9</v>
          </cell>
          <cell r="E58">
            <v>20</v>
          </cell>
          <cell r="F58">
            <v>20.399999999999999</v>
          </cell>
          <cell r="G58" t="str">
            <v>Grey</v>
          </cell>
        </row>
        <row r="59">
          <cell r="B59">
            <v>11391</v>
          </cell>
          <cell r="C59" t="str">
            <v>4 Inch Dia UPVC Pipe Class-D SPL</v>
          </cell>
          <cell r="D59" t="str">
            <v>6.0-6.9</v>
          </cell>
          <cell r="E59">
            <v>20</v>
          </cell>
          <cell r="F59">
            <v>20</v>
          </cell>
          <cell r="G59" t="str">
            <v>Grey</v>
          </cell>
        </row>
        <row r="60">
          <cell r="B60">
            <v>13249</v>
          </cell>
          <cell r="C60" t="str">
            <v>4 Inch Dia UPVC Pipe Class-D SPL As Like BS</v>
          </cell>
          <cell r="D60" t="str">
            <v>6.0-6.10</v>
          </cell>
          <cell r="E60" t="str">
            <v>6mtr</v>
          </cell>
          <cell r="F60">
            <v>20</v>
          </cell>
          <cell r="G60" t="str">
            <v>Grey</v>
          </cell>
        </row>
        <row r="61">
          <cell r="B61">
            <v>12970</v>
          </cell>
          <cell r="C61" t="str">
            <v>4 Inch Dia UPVC Pipe Class-D SPL Diamond</v>
          </cell>
          <cell r="D61" t="str">
            <v>6.0-6.9</v>
          </cell>
          <cell r="E61">
            <v>20</v>
          </cell>
          <cell r="F61">
            <v>20.399999999999999</v>
          </cell>
          <cell r="G61" t="str">
            <v>Grey</v>
          </cell>
        </row>
        <row r="62">
          <cell r="B62">
            <v>13241</v>
          </cell>
          <cell r="C62" t="str">
            <v>4 Inch Dia UPVC Pipe Class-D SPL(6.0)</v>
          </cell>
          <cell r="D62">
            <v>6</v>
          </cell>
          <cell r="E62">
            <v>20</v>
          </cell>
          <cell r="F62">
            <v>19.5</v>
          </cell>
          <cell r="G62" t="str">
            <v>Grey</v>
          </cell>
        </row>
        <row r="63">
          <cell r="B63">
            <v>11151</v>
          </cell>
          <cell r="C63" t="str">
            <v>4 Inch Dia UPVC Pipe Class-E</v>
          </cell>
          <cell r="D63" t="str">
            <v>7.3-8.4</v>
          </cell>
          <cell r="E63">
            <v>20</v>
          </cell>
          <cell r="F63">
            <v>24.5</v>
          </cell>
          <cell r="G63" t="str">
            <v>Grey</v>
          </cell>
        </row>
        <row r="64">
          <cell r="B64">
            <v>11141</v>
          </cell>
          <cell r="C64" t="str">
            <v>4 Inch Upvc Pipe Star (Gray 20 Ft )</v>
          </cell>
          <cell r="D64" t="str">
            <v>3.2-3.4</v>
          </cell>
          <cell r="E64">
            <v>20</v>
          </cell>
          <cell r="F64">
            <v>12.5</v>
          </cell>
          <cell r="G64" t="str">
            <v>Grey</v>
          </cell>
        </row>
        <row r="65">
          <cell r="B65">
            <v>11153</v>
          </cell>
          <cell r="C65" t="str">
            <v>5 Inch Dia UPVC Pipe Class-B</v>
          </cell>
          <cell r="D65" t="str">
            <v>3.8-4.4</v>
          </cell>
          <cell r="E65">
            <v>20</v>
          </cell>
          <cell r="F65">
            <v>16.7</v>
          </cell>
          <cell r="G65" t="str">
            <v>Grey</v>
          </cell>
        </row>
        <row r="66">
          <cell r="B66">
            <v>13564</v>
          </cell>
          <cell r="C66" t="str">
            <v>5 Inch Dia UPVC Pipe Class-B As Like Bs</v>
          </cell>
          <cell r="D66" t="str">
            <v>3.8-4.4</v>
          </cell>
          <cell r="E66">
            <v>20</v>
          </cell>
          <cell r="F66">
            <v>17.5</v>
          </cell>
          <cell r="G66" t="str">
            <v>Grey</v>
          </cell>
        </row>
        <row r="67">
          <cell r="B67">
            <v>11155</v>
          </cell>
          <cell r="C67" t="str">
            <v>5 Inch Dia UPVC Pipe Class-C</v>
          </cell>
          <cell r="D67" t="str">
            <v>5.5-6.4</v>
          </cell>
          <cell r="E67">
            <v>20</v>
          </cell>
          <cell r="F67">
            <v>23.5</v>
          </cell>
          <cell r="G67" t="str">
            <v>Grey</v>
          </cell>
        </row>
        <row r="68">
          <cell r="B68">
            <v>11157</v>
          </cell>
          <cell r="C68" t="str">
            <v>5 Inch Dia Upvc Pipe Class-D</v>
          </cell>
          <cell r="D68" t="str">
            <v>7.3-8.4</v>
          </cell>
          <cell r="E68">
            <v>20</v>
          </cell>
          <cell r="F68">
            <v>30.5</v>
          </cell>
          <cell r="G68" t="str">
            <v>Grey</v>
          </cell>
        </row>
        <row r="69">
          <cell r="B69">
            <v>12950</v>
          </cell>
          <cell r="C69" t="str">
            <v>5 Inch Dia Upvc Pipe Class-D Special</v>
          </cell>
          <cell r="D69" t="str">
            <v>7.3-8.4</v>
          </cell>
          <cell r="E69">
            <v>20</v>
          </cell>
          <cell r="F69">
            <v>31</v>
          </cell>
          <cell r="G69" t="str">
            <v>Grey</v>
          </cell>
        </row>
        <row r="70">
          <cell r="B70">
            <v>11200</v>
          </cell>
          <cell r="C70" t="str">
            <v>5 Inch Dia Upvc Pipe Class-D SPL</v>
          </cell>
          <cell r="D70" t="str">
            <v>7.3-8.5</v>
          </cell>
          <cell r="E70">
            <v>20</v>
          </cell>
          <cell r="F70">
            <v>31</v>
          </cell>
          <cell r="G70" t="str">
            <v>Grey</v>
          </cell>
        </row>
        <row r="71">
          <cell r="B71">
            <v>12972</v>
          </cell>
          <cell r="C71" t="str">
            <v>5 Inch Dia Upvc Pipe Class-D SPL Diamond</v>
          </cell>
          <cell r="D71" t="str">
            <v>7.3-8.4</v>
          </cell>
          <cell r="E71">
            <v>20</v>
          </cell>
          <cell r="F71">
            <v>31</v>
          </cell>
          <cell r="G71" t="str">
            <v>Grey</v>
          </cell>
        </row>
        <row r="72">
          <cell r="B72">
            <v>11159</v>
          </cell>
          <cell r="C72" t="str">
            <v>5 Inch Dia Upvc Pipe Class-E</v>
          </cell>
          <cell r="D72" t="str">
            <v>9.0-10.4</v>
          </cell>
          <cell r="E72">
            <v>20</v>
          </cell>
          <cell r="F72">
            <v>35</v>
          </cell>
          <cell r="G72" t="str">
            <v>Grey</v>
          </cell>
        </row>
        <row r="73">
          <cell r="B73">
            <v>13430</v>
          </cell>
          <cell r="C73" t="str">
            <v>5 Inch Dia Upvc Pipe Class-E SPL</v>
          </cell>
          <cell r="D73" t="str">
            <v>8.6-9.0</v>
          </cell>
          <cell r="E73" t="str">
            <v>6mtr</v>
          </cell>
          <cell r="F73">
            <v>37</v>
          </cell>
          <cell r="G73" t="str">
            <v>Grey</v>
          </cell>
        </row>
        <row r="74">
          <cell r="B74">
            <v>11204</v>
          </cell>
          <cell r="C74" t="str">
            <v>5 Inch Dia Upvc Pipe-Star</v>
          </cell>
          <cell r="D74" t="str">
            <v>3.8-4.0</v>
          </cell>
          <cell r="E74">
            <v>20</v>
          </cell>
          <cell r="F74">
            <v>18.5</v>
          </cell>
          <cell r="G74" t="str">
            <v>Grey</v>
          </cell>
        </row>
        <row r="75">
          <cell r="B75">
            <v>11127</v>
          </cell>
          <cell r="C75" t="str">
            <v>5 Inch Dia Upvc Sanitary Pipe Special</v>
          </cell>
          <cell r="D75" t="str">
            <v>1.9-2.3</v>
          </cell>
          <cell r="E75">
            <v>20</v>
          </cell>
          <cell r="F75">
            <v>10.5</v>
          </cell>
          <cell r="G75" t="str">
            <v>Grey</v>
          </cell>
        </row>
        <row r="76">
          <cell r="B76">
            <v>11165</v>
          </cell>
          <cell r="C76" t="str">
            <v>6 Inch Dia UPVC Pipe Class- D</v>
          </cell>
          <cell r="D76" t="str">
            <v>8.8-10.2</v>
          </cell>
          <cell r="E76">
            <v>20</v>
          </cell>
          <cell r="F76">
            <v>43.8</v>
          </cell>
          <cell r="G76" t="str">
            <v>Grey</v>
          </cell>
        </row>
        <row r="77">
          <cell r="B77">
            <v>11161</v>
          </cell>
          <cell r="C77" t="str">
            <v>6 Inch Dia UPVC Pipe Class-B</v>
          </cell>
          <cell r="D77" t="str">
            <v>4.5-5.2</v>
          </cell>
          <cell r="E77">
            <v>20</v>
          </cell>
          <cell r="F77">
            <v>23.5</v>
          </cell>
          <cell r="G77" t="str">
            <v>Grey</v>
          </cell>
        </row>
        <row r="78">
          <cell r="B78">
            <v>13566</v>
          </cell>
          <cell r="C78" t="str">
            <v>6 Inch Dia UPVC Pipe Class-B As Like Bs</v>
          </cell>
          <cell r="D78" t="str">
            <v>4.3-4.6</v>
          </cell>
          <cell r="E78">
            <v>20</v>
          </cell>
          <cell r="F78">
            <v>20.8</v>
          </cell>
          <cell r="G78" t="str">
            <v>Grey</v>
          </cell>
        </row>
        <row r="79">
          <cell r="B79">
            <v>11163</v>
          </cell>
          <cell r="C79" t="str">
            <v>6 Inch Dia UPVC Pipe Class-C</v>
          </cell>
          <cell r="D79" t="str">
            <v>6.6-7.6</v>
          </cell>
          <cell r="E79">
            <v>20</v>
          </cell>
          <cell r="F79">
            <v>32.5</v>
          </cell>
          <cell r="G79" t="str">
            <v>Grey</v>
          </cell>
        </row>
        <row r="80">
          <cell r="B80">
            <v>11167</v>
          </cell>
          <cell r="C80" t="str">
            <v>6 Inch Dia UPVC Pipe Class-E</v>
          </cell>
          <cell r="D80" t="str">
            <v>10.8-12.5</v>
          </cell>
          <cell r="E80">
            <v>20</v>
          </cell>
          <cell r="F80">
            <v>51.5</v>
          </cell>
          <cell r="G80" t="str">
            <v>Grey</v>
          </cell>
        </row>
        <row r="81">
          <cell r="B81">
            <v>13201</v>
          </cell>
          <cell r="C81" t="str">
            <v>6 Inch Dia UPVC Pipe Class-C Special</v>
          </cell>
          <cell r="D81" t="str">
            <v>6.6-7.6</v>
          </cell>
          <cell r="E81">
            <v>20</v>
          </cell>
          <cell r="F81">
            <v>32.5</v>
          </cell>
          <cell r="G81" t="str">
            <v>Grey</v>
          </cell>
        </row>
        <row r="82">
          <cell r="B82">
            <v>12575</v>
          </cell>
          <cell r="C82" t="str">
            <v>8 Inc Dia Pipe Class C-SPL</v>
          </cell>
          <cell r="D82" t="str">
            <v>1.5-1.7</v>
          </cell>
          <cell r="E82">
            <v>20</v>
          </cell>
          <cell r="F82">
            <v>56</v>
          </cell>
          <cell r="G82" t="str">
            <v>Grey</v>
          </cell>
        </row>
        <row r="83">
          <cell r="B83">
            <v>12197</v>
          </cell>
          <cell r="C83" t="str">
            <v>8 Inch Dia UPVC Pipe Cassing ( Grey) ( Thickness 5.0 - 5.20)</v>
          </cell>
          <cell r="D83" t="str">
            <v>1.5-1.7</v>
          </cell>
          <cell r="E83">
            <v>15</v>
          </cell>
          <cell r="F83">
            <v>37.5</v>
          </cell>
          <cell r="G83" t="str">
            <v>Grey</v>
          </cell>
        </row>
        <row r="84">
          <cell r="B84">
            <v>11173</v>
          </cell>
          <cell r="C84" t="str">
            <v>8 Inch Dia Upvc Pipe Class D</v>
          </cell>
          <cell r="D84" t="str">
            <v>1.5-1.7</v>
          </cell>
          <cell r="E84">
            <v>20</v>
          </cell>
          <cell r="F84">
            <v>65.5</v>
          </cell>
          <cell r="G84" t="str">
            <v>Grey</v>
          </cell>
        </row>
        <row r="85">
          <cell r="B85">
            <v>11169</v>
          </cell>
          <cell r="C85" t="str">
            <v>8 Inch Dia UPVC Pipe Class-B</v>
          </cell>
          <cell r="D85">
            <v>5.3</v>
          </cell>
          <cell r="E85">
            <v>20</v>
          </cell>
          <cell r="F85">
            <v>35</v>
          </cell>
          <cell r="G85" t="str">
            <v>Grey</v>
          </cell>
        </row>
        <row r="86">
          <cell r="B86">
            <v>11171</v>
          </cell>
          <cell r="C86" t="str">
            <v>8 Inch Dia UPVC Pipe Class-C</v>
          </cell>
          <cell r="D86" t="str">
            <v>1.5-1.7</v>
          </cell>
          <cell r="E86">
            <v>20</v>
          </cell>
          <cell r="F86">
            <v>50</v>
          </cell>
          <cell r="G86" t="str">
            <v>Grey</v>
          </cell>
        </row>
        <row r="87">
          <cell r="B87">
            <v>11175</v>
          </cell>
          <cell r="C87" t="str">
            <v>8 Inch Dia UPVC Pipe Class-E</v>
          </cell>
          <cell r="D87" t="str">
            <v>1.5-1.7</v>
          </cell>
          <cell r="E87">
            <v>20</v>
          </cell>
          <cell r="F87">
            <v>80</v>
          </cell>
          <cell r="G87" t="str">
            <v>Grey</v>
          </cell>
        </row>
        <row r="88">
          <cell r="B88">
            <v>13225</v>
          </cell>
          <cell r="C88" t="str">
            <v>10 inch Dia Cassing Pipe (6.6 Thickness)</v>
          </cell>
          <cell r="D88" t="str">
            <v>3.2-3.4</v>
          </cell>
          <cell r="E88">
            <v>10</v>
          </cell>
          <cell r="F88">
            <v>62</v>
          </cell>
          <cell r="G88" t="str">
            <v>Grey</v>
          </cell>
        </row>
        <row r="89">
          <cell r="B89">
            <v>11177</v>
          </cell>
          <cell r="C89" t="str">
            <v>10 Inch Dia Upvc Pipe Class -B</v>
          </cell>
          <cell r="D89" t="str">
            <v>3.2-3.4</v>
          </cell>
          <cell r="E89">
            <v>20</v>
          </cell>
          <cell r="F89">
            <v>55</v>
          </cell>
          <cell r="G89" t="str">
            <v>Grey</v>
          </cell>
        </row>
        <row r="90">
          <cell r="B90">
            <v>11179</v>
          </cell>
          <cell r="C90" t="str">
            <v>10 Inch Dia UPVC Pipe Class- C</v>
          </cell>
          <cell r="D90" t="str">
            <v>3.2-3.4</v>
          </cell>
          <cell r="E90">
            <v>20</v>
          </cell>
          <cell r="F90">
            <v>78</v>
          </cell>
          <cell r="G90" t="str">
            <v>Grey</v>
          </cell>
        </row>
        <row r="91">
          <cell r="B91">
            <v>11181</v>
          </cell>
          <cell r="C91" t="str">
            <v>10 Inch Dia Upvc Pipe Class D</v>
          </cell>
          <cell r="D91" t="str">
            <v>3.2-3.4</v>
          </cell>
          <cell r="E91">
            <v>20</v>
          </cell>
          <cell r="F91">
            <v>110</v>
          </cell>
          <cell r="G91" t="str">
            <v>Grey</v>
          </cell>
        </row>
        <row r="92">
          <cell r="B92">
            <v>11182</v>
          </cell>
          <cell r="C92" t="str">
            <v>10 Inch Dia UPVC Pipe Class-E</v>
          </cell>
          <cell r="D92" t="str">
            <v>3.2-3.4</v>
          </cell>
          <cell r="E92">
            <v>20</v>
          </cell>
          <cell r="F92">
            <v>124</v>
          </cell>
          <cell r="G92" t="str">
            <v>Grey</v>
          </cell>
        </row>
        <row r="93">
          <cell r="B93">
            <v>11184</v>
          </cell>
          <cell r="C93" t="str">
            <v>12 Inch Dia Upvc Pipe Class-B</v>
          </cell>
          <cell r="D93" t="str">
            <v>2.9-3.3</v>
          </cell>
          <cell r="E93">
            <v>20</v>
          </cell>
          <cell r="F93">
            <v>80</v>
          </cell>
          <cell r="G93" t="str">
            <v>Grey</v>
          </cell>
        </row>
        <row r="94">
          <cell r="B94">
            <v>11186</v>
          </cell>
          <cell r="C94" t="str">
            <v>12 Inch Dia Upvc Pipe Class-C</v>
          </cell>
          <cell r="D94" t="str">
            <v>2.9-3.3</v>
          </cell>
          <cell r="E94">
            <v>20</v>
          </cell>
          <cell r="F94">
            <v>111</v>
          </cell>
          <cell r="G94" t="str">
            <v>Grey</v>
          </cell>
        </row>
        <row r="95">
          <cell r="B95">
            <v>12503</v>
          </cell>
          <cell r="C95" t="str">
            <v>12 Inch Dia Upvc Pipe Class-D</v>
          </cell>
          <cell r="D95" t="str">
            <v>2.9-3.3</v>
          </cell>
          <cell r="E95">
            <v>20</v>
          </cell>
          <cell r="F95">
            <v>160</v>
          </cell>
          <cell r="G95" t="str">
            <v>Grey</v>
          </cell>
        </row>
        <row r="96">
          <cell r="B96">
            <v>11188</v>
          </cell>
          <cell r="C96" t="str">
            <v>12 Inch Dia Upvc Pipe Class-E</v>
          </cell>
          <cell r="D96" t="str">
            <v>2.9-3.3</v>
          </cell>
          <cell r="E96">
            <v>19.68</v>
          </cell>
          <cell r="F96">
            <v>184</v>
          </cell>
          <cell r="G96" t="str">
            <v>Grey</v>
          </cell>
        </row>
        <row r="97">
          <cell r="B97">
            <v>12879</v>
          </cell>
          <cell r="C97" t="str">
            <v>12 Inch Dia Upvc Pipe Class-C (Mtr)</v>
          </cell>
          <cell r="D97" t="str">
            <v>2.9-3.3</v>
          </cell>
          <cell r="E97">
            <v>6</v>
          </cell>
          <cell r="F97">
            <v>0</v>
          </cell>
          <cell r="G97" t="str">
            <v>Grey</v>
          </cell>
        </row>
        <row r="98">
          <cell r="B98">
            <v>11190</v>
          </cell>
          <cell r="C98" t="str">
            <v>14 Inch Dia UPVC Pipe Class-B</v>
          </cell>
          <cell r="D98" t="str">
            <v>2.9-3.3</v>
          </cell>
          <cell r="E98">
            <v>20</v>
          </cell>
          <cell r="F98">
            <v>97.5</v>
          </cell>
          <cell r="G98" t="str">
            <v>Grey</v>
          </cell>
        </row>
        <row r="99">
          <cell r="B99">
            <v>11191</v>
          </cell>
          <cell r="C99" t="str">
            <v>14 Inch Dia UPVC Pipe Class-C</v>
          </cell>
          <cell r="D99" t="str">
            <v>2.9-3.3</v>
          </cell>
          <cell r="E99">
            <v>20</v>
          </cell>
          <cell r="F99">
            <v>130</v>
          </cell>
          <cell r="G99" t="str">
            <v>Grey</v>
          </cell>
        </row>
        <row r="100">
          <cell r="B100">
            <v>13273</v>
          </cell>
          <cell r="C100" t="str">
            <v>14 Inch Dia UPVC Pipe Class-D</v>
          </cell>
          <cell r="D100" t="str">
            <v>16.7-18.4</v>
          </cell>
          <cell r="E100">
            <v>19.68</v>
          </cell>
          <cell r="F100">
            <v>178</v>
          </cell>
          <cell r="G100" t="str">
            <v>Grey</v>
          </cell>
        </row>
        <row r="101">
          <cell r="B101">
            <v>11193</v>
          </cell>
          <cell r="C101" t="str">
            <v>14 Inch Dia Upvc Pipe Class-E (ft)</v>
          </cell>
          <cell r="D101" t="str">
            <v>2.9-3.3</v>
          </cell>
          <cell r="E101">
            <v>20</v>
          </cell>
          <cell r="F101">
            <v>222</v>
          </cell>
          <cell r="G101" t="str">
            <v>Grey</v>
          </cell>
        </row>
        <row r="102">
          <cell r="B102">
            <v>11197</v>
          </cell>
          <cell r="C102" t="str">
            <v>16 Inch Dia UPVC Pipe Class-E</v>
          </cell>
          <cell r="D102">
            <v>0</v>
          </cell>
          <cell r="E102">
            <v>19.68</v>
          </cell>
          <cell r="F102">
            <v>292</v>
          </cell>
          <cell r="G102" t="str">
            <v>Grey</v>
          </cell>
        </row>
        <row r="103">
          <cell r="B103">
            <v>11195</v>
          </cell>
          <cell r="C103" t="str">
            <v>16Inch Dia Upvc Pipe Class-B</v>
          </cell>
          <cell r="D103" t="str">
            <v>4.2-4.6</v>
          </cell>
          <cell r="E103">
            <v>20</v>
          </cell>
          <cell r="F103">
            <v>132</v>
          </cell>
          <cell r="G103" t="str">
            <v>Grey</v>
          </cell>
        </row>
        <row r="104">
          <cell r="B104">
            <v>11196</v>
          </cell>
          <cell r="C104" t="str">
            <v>16Inch Dia Upvc Pipe Class-C</v>
          </cell>
          <cell r="D104" t="str">
            <v>14.5-167</v>
          </cell>
          <cell r="E104">
            <v>19.68</v>
          </cell>
          <cell r="F104">
            <v>180</v>
          </cell>
          <cell r="G104" t="str">
            <v>Grey</v>
          </cell>
        </row>
        <row r="105">
          <cell r="B105">
            <v>11198</v>
          </cell>
          <cell r="C105" t="str">
            <v>18 Inch Dia Pipe Class B (20ft)</v>
          </cell>
          <cell r="D105" t="str">
            <v>4.2-4.6</v>
          </cell>
          <cell r="E105">
            <v>20</v>
          </cell>
          <cell r="F105">
            <v>158</v>
          </cell>
          <cell r="G105" t="str">
            <v>Grey</v>
          </cell>
        </row>
        <row r="106">
          <cell r="B106">
            <v>11199</v>
          </cell>
          <cell r="C106" t="str">
            <v>18 Inch Dia Upvc Pipe Class -C</v>
          </cell>
          <cell r="D106" t="str">
            <v>4.2-4.6</v>
          </cell>
          <cell r="E106">
            <v>20</v>
          </cell>
          <cell r="F106">
            <v>239</v>
          </cell>
          <cell r="G106" t="str">
            <v>Grey</v>
          </cell>
        </row>
        <row r="107">
          <cell r="B107">
            <v>12947</v>
          </cell>
          <cell r="C107" t="str">
            <v>18 Inch Dia Upvc Pipe Class-D</v>
          </cell>
          <cell r="D107" t="str">
            <v>4.2-4.6</v>
          </cell>
          <cell r="E107">
            <v>20</v>
          </cell>
          <cell r="F107">
            <v>302</v>
          </cell>
          <cell r="G107" t="str">
            <v>Grey</v>
          </cell>
        </row>
        <row r="108">
          <cell r="B108">
            <v>0</v>
          </cell>
          <cell r="C108" t="str">
            <v>Filter Pipe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</row>
        <row r="109">
          <cell r="B109">
            <v>12951</v>
          </cell>
          <cell r="C109" t="str">
            <v>1.5 Inch Dia Robo Filter</v>
          </cell>
          <cell r="D109" t="str">
            <v>2.5-3.0</v>
          </cell>
          <cell r="E109">
            <v>6.56</v>
          </cell>
          <cell r="F109">
            <v>1.45</v>
          </cell>
          <cell r="G109" t="str">
            <v>Grey</v>
          </cell>
        </row>
        <row r="110">
          <cell r="B110">
            <v>13284</v>
          </cell>
          <cell r="C110" t="str">
            <v>1.5 Inch Dia Class-E Filter(Rib)</v>
          </cell>
          <cell r="D110" t="str">
            <v>3.1-3.7</v>
          </cell>
          <cell r="E110">
            <v>10</v>
          </cell>
          <cell r="F110">
            <v>2.5</v>
          </cell>
          <cell r="G110" t="str">
            <v>Grey</v>
          </cell>
        </row>
        <row r="111">
          <cell r="B111">
            <v>12842</v>
          </cell>
          <cell r="C111" t="str">
            <v>1.5 inch Dia Upvc Filter Class E</v>
          </cell>
          <cell r="D111" t="str">
            <v>2.5-3.0</v>
          </cell>
          <cell r="E111">
            <v>10</v>
          </cell>
          <cell r="F111">
            <v>2.4700000000000002</v>
          </cell>
          <cell r="G111" t="str">
            <v>Grey</v>
          </cell>
        </row>
        <row r="112">
          <cell r="B112">
            <v>11356</v>
          </cell>
          <cell r="C112" t="str">
            <v>1.5 Inch Dia Upvc Filter DPHE 10 No</v>
          </cell>
          <cell r="D112" t="str">
            <v>2.5-3.0</v>
          </cell>
          <cell r="E112">
            <v>10</v>
          </cell>
          <cell r="F112">
            <v>2.5</v>
          </cell>
          <cell r="G112" t="str">
            <v>Grey</v>
          </cell>
        </row>
        <row r="113">
          <cell r="B113">
            <v>12687</v>
          </cell>
          <cell r="C113" t="str">
            <v>1.5 inch Dia Upvc Filter DPHE 8 No</v>
          </cell>
          <cell r="D113" t="str">
            <v>2.5-3.0</v>
          </cell>
          <cell r="E113">
            <v>10</v>
          </cell>
          <cell r="F113">
            <v>2.1</v>
          </cell>
          <cell r="G113" t="str">
            <v>Grey</v>
          </cell>
        </row>
        <row r="114">
          <cell r="B114">
            <v>13006</v>
          </cell>
          <cell r="C114" t="str">
            <v>1.5 inch Dia Upvc Filter DPHE 8 No (Red)</v>
          </cell>
          <cell r="D114" t="str">
            <v>2.5-3.0</v>
          </cell>
          <cell r="E114">
            <v>10</v>
          </cell>
          <cell r="F114">
            <v>2.1</v>
          </cell>
          <cell r="G114" t="str">
            <v>Red</v>
          </cell>
        </row>
        <row r="115">
          <cell r="B115">
            <v>11109</v>
          </cell>
          <cell r="C115" t="str">
            <v>1.5 Inch Dia Upvc Filter Economy (10 ft Length)</v>
          </cell>
          <cell r="D115" t="str">
            <v>1.8-2.0</v>
          </cell>
          <cell r="E115">
            <v>10</v>
          </cell>
          <cell r="F115">
            <v>1.23</v>
          </cell>
          <cell r="G115" t="str">
            <v>Pink</v>
          </cell>
        </row>
        <row r="116">
          <cell r="B116">
            <v>11112</v>
          </cell>
          <cell r="C116" t="str">
            <v>1.5 Inch Dia Upvc Filter Economy (6 ft Length)</v>
          </cell>
          <cell r="D116" t="str">
            <v>1.8-2.0</v>
          </cell>
          <cell r="E116">
            <v>6</v>
          </cell>
          <cell r="F116">
            <v>0.75</v>
          </cell>
          <cell r="G116" t="str">
            <v>Pink</v>
          </cell>
        </row>
        <row r="117">
          <cell r="B117">
            <v>11111</v>
          </cell>
          <cell r="C117" t="str">
            <v>1.5 Inch Dia Upvc Filter Economy (8 ft Length)</v>
          </cell>
          <cell r="D117" t="str">
            <v>1.8-2.0</v>
          </cell>
          <cell r="E117">
            <v>8</v>
          </cell>
          <cell r="F117">
            <v>0.99</v>
          </cell>
          <cell r="G117" t="str">
            <v>Pink</v>
          </cell>
        </row>
        <row r="118">
          <cell r="B118">
            <v>11119</v>
          </cell>
          <cell r="C118" t="str">
            <v>1.5 Inch Dia UPVC Filter SPL (6 ft Length)</v>
          </cell>
          <cell r="D118" t="str">
            <v>2.0-2.2</v>
          </cell>
          <cell r="E118">
            <v>6</v>
          </cell>
          <cell r="F118">
            <v>0.95</v>
          </cell>
          <cell r="G118" t="str">
            <v>Pink</v>
          </cell>
        </row>
        <row r="119">
          <cell r="B119">
            <v>11118</v>
          </cell>
          <cell r="C119" t="str">
            <v>1.5 Inch Dia UPVC Filter SPL (8 ft Length)</v>
          </cell>
          <cell r="D119" t="str">
            <v>2.0-2.2</v>
          </cell>
          <cell r="E119">
            <v>8</v>
          </cell>
          <cell r="F119">
            <v>1.3</v>
          </cell>
          <cell r="G119" t="str">
            <v>Pink</v>
          </cell>
        </row>
        <row r="120">
          <cell r="B120">
            <v>11117</v>
          </cell>
          <cell r="C120" t="str">
            <v>1.5 Inch Dia UPVC Fllter SPL (10 ft Length)</v>
          </cell>
          <cell r="D120" t="str">
            <v>2.0-2.2</v>
          </cell>
          <cell r="E120">
            <v>10</v>
          </cell>
          <cell r="F120">
            <v>1.6</v>
          </cell>
          <cell r="G120" t="str">
            <v>Pink</v>
          </cell>
        </row>
        <row r="121">
          <cell r="B121">
            <v>11115</v>
          </cell>
          <cell r="C121" t="str">
            <v>1.5 Inch Dia Upvc Pipe Class-D Filter (8 Feet Length)</v>
          </cell>
          <cell r="D121" t="str">
            <v>4.5-5.2</v>
          </cell>
          <cell r="E121">
            <v>8</v>
          </cell>
          <cell r="F121">
            <v>1.48</v>
          </cell>
          <cell r="G121" t="str">
            <v>White</v>
          </cell>
        </row>
        <row r="122">
          <cell r="B122">
            <v>12884</v>
          </cell>
          <cell r="C122" t="str">
            <v>1.5 Inch Dia UPVC Pipe Filter-Class-D</v>
          </cell>
          <cell r="D122" t="str">
            <v>2.5-3.0</v>
          </cell>
          <cell r="E122">
            <v>10</v>
          </cell>
          <cell r="F122">
            <v>1.9</v>
          </cell>
          <cell r="G122" t="str">
            <v>Grey</v>
          </cell>
        </row>
        <row r="123">
          <cell r="B123">
            <v>11114</v>
          </cell>
          <cell r="C123" t="str">
            <v>1.5 Inch Dia UPVC Pipe Filter-Class-D (White)</v>
          </cell>
          <cell r="D123" t="str">
            <v>4.5-5.2</v>
          </cell>
          <cell r="E123">
            <v>10</v>
          </cell>
          <cell r="F123">
            <v>1.9</v>
          </cell>
          <cell r="G123" t="str">
            <v>White</v>
          </cell>
        </row>
        <row r="124">
          <cell r="B124">
            <v>13422</v>
          </cell>
          <cell r="C124" t="str">
            <v>1.5 Inch x 10Ft uPVC Cless-D Rib Filter (Gray)</v>
          </cell>
          <cell r="D124" t="str">
            <v>2.5-3.0</v>
          </cell>
          <cell r="E124">
            <v>10</v>
          </cell>
          <cell r="F124">
            <v>1.9</v>
          </cell>
          <cell r="G124" t="str">
            <v>Grey</v>
          </cell>
        </row>
        <row r="125">
          <cell r="B125">
            <v>13423</v>
          </cell>
          <cell r="C125" t="str">
            <v>1.5 Inch x 8Ft uPVC Cless-D Rib Filter (Gray)</v>
          </cell>
          <cell r="D125" t="str">
            <v>2.5-3.0</v>
          </cell>
          <cell r="E125">
            <v>8</v>
          </cell>
          <cell r="F125">
            <v>0</v>
          </cell>
          <cell r="G125" t="str">
            <v>Grey</v>
          </cell>
        </row>
        <row r="126">
          <cell r="B126">
            <v>13171</v>
          </cell>
          <cell r="C126" t="str">
            <v>1.5 Inch Dia UPVC Pipe Filter-Class-D SPL</v>
          </cell>
          <cell r="D126" t="str">
            <v>4.5-5.2</v>
          </cell>
          <cell r="E126">
            <v>10</v>
          </cell>
          <cell r="F126">
            <v>0</v>
          </cell>
          <cell r="G126" t="str">
            <v>Grey</v>
          </cell>
        </row>
        <row r="127">
          <cell r="B127">
            <v>11129</v>
          </cell>
          <cell r="C127" t="str">
            <v>2 Inch Dia UPVC Filter Class C</v>
          </cell>
          <cell r="D127" t="str">
            <v>2.5-3.0</v>
          </cell>
          <cell r="E127">
            <v>10</v>
          </cell>
          <cell r="F127">
            <v>2.27</v>
          </cell>
          <cell r="G127" t="str">
            <v>Grey</v>
          </cell>
        </row>
        <row r="128">
          <cell r="B128">
            <v>11733</v>
          </cell>
          <cell r="C128" t="str">
            <v>2 Inch Dia UPVC Filter Class E</v>
          </cell>
          <cell r="D128" t="str">
            <v>3.9-4.5</v>
          </cell>
          <cell r="E128">
            <v>10</v>
          </cell>
          <cell r="F128">
            <v>3.55</v>
          </cell>
          <cell r="G128" t="str">
            <v>Grey</v>
          </cell>
        </row>
        <row r="129">
          <cell r="B129">
            <v>12975</v>
          </cell>
          <cell r="C129" t="str">
            <v>2 Inch Dia UPVC Filter Class E Diamond</v>
          </cell>
          <cell r="D129" t="str">
            <v>3.9-4.5</v>
          </cell>
          <cell r="E129">
            <v>10</v>
          </cell>
          <cell r="F129">
            <v>3.55</v>
          </cell>
          <cell r="G129" t="str">
            <v>Grey</v>
          </cell>
        </row>
        <row r="130">
          <cell r="B130">
            <v>12995</v>
          </cell>
          <cell r="C130" t="str">
            <v>2 Inch Dia UPVC Filter Class E Special</v>
          </cell>
          <cell r="D130" t="str">
            <v>3.9-4.5</v>
          </cell>
          <cell r="E130">
            <v>10</v>
          </cell>
          <cell r="F130">
            <v>3.55</v>
          </cell>
          <cell r="G130" t="str">
            <v>Grey</v>
          </cell>
        </row>
        <row r="131">
          <cell r="B131">
            <v>11131</v>
          </cell>
          <cell r="C131" t="str">
            <v>2 Inch Dia Upvc Filter Class-D</v>
          </cell>
          <cell r="D131" t="str">
            <v>3.1-3.7</v>
          </cell>
          <cell r="E131">
            <v>10</v>
          </cell>
          <cell r="F131">
            <v>2.75</v>
          </cell>
          <cell r="G131" t="str">
            <v>Grey</v>
          </cell>
        </row>
        <row r="132">
          <cell r="B132">
            <v>13191</v>
          </cell>
          <cell r="C132" t="str">
            <v>2 Inch Dia Upvc Rib Filter Class-D</v>
          </cell>
          <cell r="D132" t="str">
            <v>3.1-3.7</v>
          </cell>
          <cell r="E132">
            <v>10</v>
          </cell>
          <cell r="F132">
            <v>2.8</v>
          </cell>
          <cell r="G132" t="str">
            <v>Grey</v>
          </cell>
        </row>
        <row r="133">
          <cell r="B133">
            <v>12969</v>
          </cell>
          <cell r="C133" t="str">
            <v>2 Inch Dia Upvc Filter Class-D Diamond</v>
          </cell>
          <cell r="D133" t="str">
            <v>3.1-3.7</v>
          </cell>
          <cell r="E133">
            <v>15</v>
          </cell>
          <cell r="F133">
            <v>2.75</v>
          </cell>
          <cell r="G133" t="str">
            <v>Grey</v>
          </cell>
        </row>
        <row r="134">
          <cell r="B134">
            <v>12993</v>
          </cell>
          <cell r="C134" t="str">
            <v>2 Inch Dia Upvc Filter Class-D Special</v>
          </cell>
          <cell r="D134" t="str">
            <v>3.1-3.7</v>
          </cell>
          <cell r="E134">
            <v>10</v>
          </cell>
          <cell r="F134">
            <v>2.75</v>
          </cell>
          <cell r="G134" t="str">
            <v>Grey</v>
          </cell>
        </row>
        <row r="135">
          <cell r="B135">
            <v>12590</v>
          </cell>
          <cell r="C135" t="str">
            <v>2 Inch Dia Upvc Filter -Star</v>
          </cell>
          <cell r="D135" t="str">
            <v>2.5*-3.0</v>
          </cell>
          <cell r="E135">
            <v>10</v>
          </cell>
          <cell r="F135">
            <v>2.73</v>
          </cell>
          <cell r="G135" t="str">
            <v>Grey</v>
          </cell>
        </row>
        <row r="136">
          <cell r="B136">
            <v>12956</v>
          </cell>
          <cell r="C136" t="str">
            <v>2 Inch Dia UPVC Filter Supper</v>
          </cell>
          <cell r="D136">
            <v>0</v>
          </cell>
          <cell r="E136">
            <v>10</v>
          </cell>
          <cell r="F136">
            <v>2.5299999999999998</v>
          </cell>
          <cell r="G136" t="str">
            <v>Grey</v>
          </cell>
        </row>
        <row r="137">
          <cell r="B137">
            <v>13206</v>
          </cell>
          <cell r="C137" t="str">
            <v>3 Inc Dia Filter Class D- Special</v>
          </cell>
          <cell r="D137" t="str">
            <v>4.6-5.3</v>
          </cell>
          <cell r="E137">
            <v>10</v>
          </cell>
          <cell r="F137">
            <v>5.9</v>
          </cell>
          <cell r="G137" t="str">
            <v>Grey</v>
          </cell>
        </row>
        <row r="138">
          <cell r="B138">
            <v>12269</v>
          </cell>
          <cell r="C138" t="str">
            <v>3 Inch Dia Filter Class-E</v>
          </cell>
          <cell r="D138" t="str">
            <v>5.7-6.6</v>
          </cell>
          <cell r="E138">
            <v>10</v>
          </cell>
          <cell r="F138">
            <v>8.25</v>
          </cell>
          <cell r="G138" t="str">
            <v>Grey</v>
          </cell>
        </row>
        <row r="139">
          <cell r="B139">
            <v>11136</v>
          </cell>
          <cell r="C139" t="str">
            <v>3 Inch Dia UPVC Filter Class - B</v>
          </cell>
          <cell r="D139" t="str">
            <v>2.9-3.4</v>
          </cell>
          <cell r="E139">
            <v>10</v>
          </cell>
          <cell r="F139">
            <v>3.9</v>
          </cell>
          <cell r="G139" t="str">
            <v>Grey</v>
          </cell>
        </row>
        <row r="140">
          <cell r="B140">
            <v>11138</v>
          </cell>
          <cell r="C140" t="str">
            <v>3 Inch Dia UPVC Filter Class - C</v>
          </cell>
          <cell r="D140" t="str">
            <v>3.5-4.1</v>
          </cell>
          <cell r="E140">
            <v>10</v>
          </cell>
          <cell r="F140">
            <v>4.75</v>
          </cell>
          <cell r="G140" t="str">
            <v>Grey</v>
          </cell>
        </row>
        <row r="141">
          <cell r="B141">
            <v>12580</v>
          </cell>
          <cell r="C141" t="str">
            <v>3 Inc Dia Filter Class C-SPL</v>
          </cell>
          <cell r="D141" t="str">
            <v>3.0-3.2</v>
          </cell>
          <cell r="E141">
            <v>15</v>
          </cell>
          <cell r="F141">
            <v>4.5</v>
          </cell>
          <cell r="G141" t="str">
            <v>Grey</v>
          </cell>
        </row>
        <row r="142">
          <cell r="B142">
            <v>11140</v>
          </cell>
          <cell r="C142" t="str">
            <v>3 Inch Dia UPVC Filter Class-D</v>
          </cell>
          <cell r="D142" t="str">
            <v>4.6-5.3</v>
          </cell>
          <cell r="E142">
            <v>10</v>
          </cell>
          <cell r="F142">
            <v>5.9</v>
          </cell>
          <cell r="G142" t="str">
            <v>Grey</v>
          </cell>
        </row>
        <row r="143">
          <cell r="B143">
            <v>11134</v>
          </cell>
          <cell r="C143" t="str">
            <v>3 Inch Dia Upvc Pipe Filter-Star (2.7 Thickness)</v>
          </cell>
          <cell r="D143" t="str">
            <v>2.6-2.9</v>
          </cell>
          <cell r="E143">
            <v>10</v>
          </cell>
          <cell r="F143">
            <v>4</v>
          </cell>
          <cell r="G143" t="str">
            <v>Grey</v>
          </cell>
        </row>
        <row r="144">
          <cell r="B144">
            <v>11148</v>
          </cell>
          <cell r="C144" t="str">
            <v>4 Inch Dia Filter Pipe Class - C</v>
          </cell>
          <cell r="D144" t="str">
            <v>4.5-5.2</v>
          </cell>
          <cell r="E144">
            <v>10</v>
          </cell>
          <cell r="F144">
            <v>7.65</v>
          </cell>
          <cell r="G144" t="str">
            <v>Grey</v>
          </cell>
        </row>
        <row r="145">
          <cell r="B145">
            <v>11142</v>
          </cell>
          <cell r="C145" t="str">
            <v>4 Inch Upvc Pipe Star Filter (Gray)</v>
          </cell>
          <cell r="D145" t="str">
            <v>3.2-3.4</v>
          </cell>
          <cell r="E145">
            <v>10</v>
          </cell>
          <cell r="F145">
            <v>6.25</v>
          </cell>
          <cell r="G145" t="str">
            <v>Grey</v>
          </cell>
        </row>
        <row r="146">
          <cell r="B146">
            <v>11156</v>
          </cell>
          <cell r="C146" t="str">
            <v>5 Inch Dia UPVC Filtter Class-C</v>
          </cell>
          <cell r="D146" t="str">
            <v>5.5-6.4</v>
          </cell>
          <cell r="E146">
            <v>10</v>
          </cell>
          <cell r="F146">
            <v>11.75</v>
          </cell>
          <cell r="G146" t="str">
            <v>Grey</v>
          </cell>
        </row>
        <row r="147">
          <cell r="B147">
            <v>11203</v>
          </cell>
          <cell r="C147" t="str">
            <v>4 Inch Dia Class Filter -C SPL</v>
          </cell>
          <cell r="D147" t="str">
            <v>4.5-5.2</v>
          </cell>
          <cell r="E147">
            <v>10</v>
          </cell>
          <cell r="F147">
            <v>8</v>
          </cell>
          <cell r="G147" t="str">
            <v>Grey</v>
          </cell>
        </row>
        <row r="148">
          <cell r="B148">
            <v>13239</v>
          </cell>
          <cell r="C148" t="str">
            <v>4 Inch Dia Class Filter -C SPL(4.50)</v>
          </cell>
          <cell r="D148">
            <v>4.5</v>
          </cell>
          <cell r="E148">
            <v>10</v>
          </cell>
          <cell r="F148">
            <v>7.75</v>
          </cell>
          <cell r="G148" t="str">
            <v>Grey</v>
          </cell>
        </row>
        <row r="149">
          <cell r="B149">
            <v>11150</v>
          </cell>
          <cell r="C149" t="str">
            <v>4 Inch Dia UPVC Filter Class - D</v>
          </cell>
          <cell r="D149" t="str">
            <v>6.0-6.9</v>
          </cell>
          <cell r="E149">
            <v>10</v>
          </cell>
          <cell r="F149">
            <v>9.8000000000000007</v>
          </cell>
          <cell r="G149" t="str">
            <v>Grey</v>
          </cell>
        </row>
        <row r="150">
          <cell r="B150">
            <v>11146</v>
          </cell>
          <cell r="C150" t="str">
            <v>4 Inch Dia UPVC Filter Class -B</v>
          </cell>
          <cell r="D150" t="str">
            <v>3.4-4.0</v>
          </cell>
          <cell r="E150">
            <v>10</v>
          </cell>
          <cell r="F150">
            <v>5.9</v>
          </cell>
          <cell r="G150" t="str">
            <v>Grey</v>
          </cell>
        </row>
        <row r="151">
          <cell r="B151">
            <v>11152</v>
          </cell>
          <cell r="C151" t="str">
            <v>4 Inch Dia UPVC Filter Class-E</v>
          </cell>
          <cell r="D151" t="str">
            <v>7.3-8.4</v>
          </cell>
          <cell r="E151">
            <v>10</v>
          </cell>
          <cell r="F151">
            <v>12.25</v>
          </cell>
          <cell r="G151" t="str">
            <v>Grey</v>
          </cell>
        </row>
        <row r="152">
          <cell r="B152">
            <v>12971</v>
          </cell>
          <cell r="C152" t="str">
            <v>4 Inch Dia Upvc Pipe Class -D SPL Diamond Filter</v>
          </cell>
          <cell r="D152" t="str">
            <v>6.0-6.9</v>
          </cell>
          <cell r="E152">
            <v>10</v>
          </cell>
          <cell r="F152">
            <v>10.199999999999999</v>
          </cell>
          <cell r="G152" t="str">
            <v>Grey</v>
          </cell>
        </row>
        <row r="153">
          <cell r="B153">
            <v>11399</v>
          </cell>
          <cell r="C153" t="str">
            <v>4 Inch Dia Upvc Pipe Class -D SPL Filter</v>
          </cell>
          <cell r="D153" t="str">
            <v>6.0-6.9</v>
          </cell>
          <cell r="E153">
            <v>10</v>
          </cell>
          <cell r="F153">
            <v>10</v>
          </cell>
          <cell r="G153" t="str">
            <v>Grey</v>
          </cell>
        </row>
        <row r="154">
          <cell r="B154">
            <v>13242</v>
          </cell>
          <cell r="C154" t="str">
            <v>4 Inch Dia Upvc Pipe Class -D SPL Filter(6.0)</v>
          </cell>
          <cell r="D154">
            <v>6</v>
          </cell>
          <cell r="E154">
            <v>10</v>
          </cell>
          <cell r="F154">
            <v>9.75</v>
          </cell>
          <cell r="G154" t="str">
            <v>Grey</v>
          </cell>
        </row>
        <row r="155">
          <cell r="B155">
            <v>12963</v>
          </cell>
          <cell r="C155" t="str">
            <v>5 Inch Dia Upvc Class-D Special Filter</v>
          </cell>
          <cell r="D155" t="str">
            <v>7.3-8.4</v>
          </cell>
          <cell r="E155">
            <v>10</v>
          </cell>
          <cell r="F155">
            <v>15.5</v>
          </cell>
          <cell r="G155" t="str">
            <v>Grey</v>
          </cell>
        </row>
        <row r="156">
          <cell r="B156">
            <v>11154</v>
          </cell>
          <cell r="C156" t="str">
            <v>5 Inch Dia UPVC- Filter Class-B</v>
          </cell>
          <cell r="D156" t="str">
            <v>3.8-4.4</v>
          </cell>
          <cell r="E156">
            <v>10</v>
          </cell>
          <cell r="F156">
            <v>8.35</v>
          </cell>
          <cell r="G156" t="str">
            <v>Grey</v>
          </cell>
        </row>
        <row r="157">
          <cell r="B157">
            <v>13565</v>
          </cell>
          <cell r="C157" t="str">
            <v>5 Inch Dia UPVC- Filter Class-B As like Bs</v>
          </cell>
          <cell r="D157" t="str">
            <v>3.8-4.4</v>
          </cell>
          <cell r="E157">
            <v>10</v>
          </cell>
          <cell r="F157">
            <v>8.75</v>
          </cell>
          <cell r="G157" t="str">
            <v>Grey</v>
          </cell>
        </row>
        <row r="158">
          <cell r="B158">
            <v>11158</v>
          </cell>
          <cell r="C158" t="str">
            <v>5 Inch Dia UPVC Filter Class-D</v>
          </cell>
          <cell r="D158" t="str">
            <v>7.3-8.4</v>
          </cell>
          <cell r="E158">
            <v>10</v>
          </cell>
          <cell r="F158">
            <v>15.25</v>
          </cell>
          <cell r="G158" t="str">
            <v>Grey</v>
          </cell>
        </row>
        <row r="159">
          <cell r="B159">
            <v>12973</v>
          </cell>
          <cell r="C159" t="str">
            <v>5 Inch Dia Upvc Pipe Class-D SPL Diamond Filter</v>
          </cell>
          <cell r="D159" t="str">
            <v>7.3-8.4</v>
          </cell>
          <cell r="E159">
            <v>10</v>
          </cell>
          <cell r="F159">
            <v>15.5</v>
          </cell>
          <cell r="G159" t="str">
            <v>Grey</v>
          </cell>
        </row>
        <row r="160">
          <cell r="B160">
            <v>11201</v>
          </cell>
          <cell r="C160" t="str">
            <v>5 Inch Dia Upvc Pipe Class-D SPL Filter</v>
          </cell>
          <cell r="D160" t="str">
            <v>7.3-8.4</v>
          </cell>
          <cell r="E160">
            <v>10</v>
          </cell>
          <cell r="F160">
            <v>15.5</v>
          </cell>
          <cell r="G160" t="str">
            <v>Grey</v>
          </cell>
        </row>
        <row r="161">
          <cell r="B161">
            <v>11205</v>
          </cell>
          <cell r="C161" t="str">
            <v>5 Inch Dia Upvc Pipe Filter-Star</v>
          </cell>
          <cell r="D161" t="str">
            <v>3.8-4.0</v>
          </cell>
          <cell r="E161">
            <v>10</v>
          </cell>
          <cell r="F161">
            <v>9.25</v>
          </cell>
          <cell r="G161" t="str">
            <v>Grey</v>
          </cell>
        </row>
        <row r="162">
          <cell r="B162">
            <v>11160</v>
          </cell>
          <cell r="C162" t="str">
            <v>5 Inch Upvc Pipe (Filter) Class-E</v>
          </cell>
          <cell r="D162" t="str">
            <v>9.0-10.4</v>
          </cell>
          <cell r="E162">
            <v>10</v>
          </cell>
          <cell r="F162">
            <v>17.5</v>
          </cell>
          <cell r="G162" t="str">
            <v>Grey</v>
          </cell>
        </row>
        <row r="163">
          <cell r="B163">
            <v>13431</v>
          </cell>
          <cell r="C163" t="str">
            <v>5 Inch Upvc Pipe (Filter) Class-E SPL</v>
          </cell>
          <cell r="D163" t="str">
            <v>8.6-9.0</v>
          </cell>
          <cell r="E163" t="str">
            <v>3mtr</v>
          </cell>
          <cell r="F163">
            <v>18.5</v>
          </cell>
          <cell r="G163" t="str">
            <v>Grey</v>
          </cell>
        </row>
        <row r="164">
          <cell r="B164">
            <v>11162</v>
          </cell>
          <cell r="C164" t="str">
            <v>6 Inch Dia UPVC Filter Class -B</v>
          </cell>
          <cell r="D164" t="str">
            <v>4.5-5.2</v>
          </cell>
          <cell r="E164">
            <v>10</v>
          </cell>
          <cell r="F164">
            <v>11.75</v>
          </cell>
          <cell r="G164" t="str">
            <v>Grey</v>
          </cell>
        </row>
        <row r="165">
          <cell r="B165">
            <v>13567</v>
          </cell>
          <cell r="C165" t="str">
            <v>6 Inch Dia UPVC Filter Class -B As like Bs</v>
          </cell>
          <cell r="D165" t="str">
            <v>4.5-5.2</v>
          </cell>
          <cell r="E165">
            <v>10</v>
          </cell>
          <cell r="F165">
            <v>10.4</v>
          </cell>
          <cell r="G165" t="str">
            <v>Grey</v>
          </cell>
        </row>
        <row r="166">
          <cell r="B166">
            <v>11166</v>
          </cell>
          <cell r="C166" t="str">
            <v>6 Inch Dia Upvc Filter Class- D</v>
          </cell>
          <cell r="D166" t="str">
            <v>8.8-10.2</v>
          </cell>
          <cell r="E166">
            <v>10</v>
          </cell>
          <cell r="F166">
            <v>21.9</v>
          </cell>
          <cell r="G166" t="str">
            <v>Grey</v>
          </cell>
        </row>
        <row r="167">
          <cell r="B167">
            <v>11164</v>
          </cell>
          <cell r="C167" t="str">
            <v>6 Inch Dia Upvc Filter Class-C</v>
          </cell>
          <cell r="D167" t="str">
            <v>6.6-7.6</v>
          </cell>
          <cell r="E167">
            <v>10</v>
          </cell>
          <cell r="F167">
            <v>16.25</v>
          </cell>
          <cell r="G167" t="str">
            <v>Grey</v>
          </cell>
        </row>
        <row r="168">
          <cell r="B168">
            <v>23207</v>
          </cell>
          <cell r="C168" t="str">
            <v>6 Inch Dia UPVC Filter Class-C Special</v>
          </cell>
          <cell r="D168" t="str">
            <v>6.6-7.6</v>
          </cell>
          <cell r="E168">
            <v>10</v>
          </cell>
          <cell r="F168">
            <v>16.25</v>
          </cell>
          <cell r="G168" t="str">
            <v>Grey</v>
          </cell>
        </row>
        <row r="169">
          <cell r="B169">
            <v>11168</v>
          </cell>
          <cell r="C169" t="str">
            <v>6 Inch Dia Upvc Filter Class-E</v>
          </cell>
          <cell r="D169" t="str">
            <v>10.8-12.5</v>
          </cell>
          <cell r="E169">
            <v>10</v>
          </cell>
          <cell r="F169">
            <v>25.75</v>
          </cell>
          <cell r="G169" t="str">
            <v>Grey</v>
          </cell>
        </row>
        <row r="170">
          <cell r="B170">
            <v>12576</v>
          </cell>
          <cell r="C170" t="str">
            <v>8 Inc Dia Filter Class C-SPL</v>
          </cell>
          <cell r="D170" t="str">
            <v>10.3-11.9</v>
          </cell>
          <cell r="E170">
            <v>20</v>
          </cell>
          <cell r="F170">
            <v>28</v>
          </cell>
          <cell r="G170" t="str">
            <v>Grey</v>
          </cell>
        </row>
        <row r="171">
          <cell r="B171">
            <v>11416</v>
          </cell>
          <cell r="C171" t="str">
            <v>8 Inch Dia Robo Filter Class-E</v>
          </cell>
          <cell r="D171" t="str">
            <v>10.3-11.9</v>
          </cell>
          <cell r="E171">
            <v>20</v>
          </cell>
          <cell r="F171">
            <v>42.8</v>
          </cell>
          <cell r="G171" t="str">
            <v>Grey</v>
          </cell>
        </row>
        <row r="172">
          <cell r="B172">
            <v>11172</v>
          </cell>
          <cell r="C172" t="str">
            <v>8 Inch Dia UPVC Filter Class- C</v>
          </cell>
          <cell r="D172" t="str">
            <v>7.8-9.0</v>
          </cell>
          <cell r="E172">
            <v>10</v>
          </cell>
          <cell r="F172">
            <v>25</v>
          </cell>
          <cell r="G172" t="str">
            <v>Grey</v>
          </cell>
        </row>
        <row r="173">
          <cell r="B173">
            <v>11174</v>
          </cell>
          <cell r="C173" t="str">
            <v>8 Inch Dia Upvc Filter Class D</v>
          </cell>
          <cell r="D173" t="str">
            <v>10.3-11.9</v>
          </cell>
          <cell r="E173">
            <v>10</v>
          </cell>
          <cell r="F173">
            <v>32.75</v>
          </cell>
          <cell r="G173" t="str">
            <v>Grey</v>
          </cell>
        </row>
        <row r="174">
          <cell r="B174">
            <v>11170</v>
          </cell>
          <cell r="C174" t="str">
            <v>8 Inch Dia UPVC Filter Class-B</v>
          </cell>
          <cell r="D174" t="str">
            <v>5.3-6.1</v>
          </cell>
          <cell r="E174">
            <v>10</v>
          </cell>
          <cell r="F174">
            <v>17.5</v>
          </cell>
          <cell r="G174" t="str">
            <v>Grey</v>
          </cell>
        </row>
        <row r="175">
          <cell r="B175">
            <v>11176</v>
          </cell>
          <cell r="C175" t="str">
            <v>8 Inch Dia Upvc Pipe Filter Class-E</v>
          </cell>
          <cell r="D175" t="str">
            <v>12.6-14.5</v>
          </cell>
          <cell r="E175">
            <v>10</v>
          </cell>
          <cell r="F175">
            <v>40</v>
          </cell>
          <cell r="G175" t="str">
            <v>Grey</v>
          </cell>
        </row>
        <row r="176">
          <cell r="B176">
            <v>11180</v>
          </cell>
          <cell r="C176" t="str">
            <v>10 Inch Dia Upvc Filter Class- C</v>
          </cell>
          <cell r="D176" t="str">
            <v>3.2-3.4</v>
          </cell>
          <cell r="E176">
            <v>10</v>
          </cell>
          <cell r="F176">
            <v>39</v>
          </cell>
          <cell r="G176" t="str">
            <v>Grey</v>
          </cell>
        </row>
        <row r="177">
          <cell r="B177">
            <v>12734</v>
          </cell>
          <cell r="C177" t="str">
            <v>10 Inch Dia Upvc Filter Class D</v>
          </cell>
          <cell r="D177" t="str">
            <v>3.2-3.4</v>
          </cell>
          <cell r="E177">
            <v>10</v>
          </cell>
          <cell r="F177">
            <v>55</v>
          </cell>
          <cell r="G177" t="str">
            <v>Grey</v>
          </cell>
        </row>
        <row r="178">
          <cell r="B178">
            <v>12828</v>
          </cell>
          <cell r="C178" t="str">
            <v>10 Inch Dia Upvc Filter Class E</v>
          </cell>
          <cell r="D178" t="str">
            <v>15.7-18.1</v>
          </cell>
          <cell r="E178">
            <v>10</v>
          </cell>
          <cell r="F178">
            <v>62</v>
          </cell>
          <cell r="G178" t="str">
            <v>Grey</v>
          </cell>
        </row>
        <row r="179">
          <cell r="B179">
            <v>11178</v>
          </cell>
          <cell r="C179" t="str">
            <v>10 Inch Dia Upvc Pipe Filter Class-B (ft)</v>
          </cell>
          <cell r="D179" t="str">
            <v>3.2-3.4</v>
          </cell>
          <cell r="E179">
            <v>10</v>
          </cell>
          <cell r="F179">
            <v>27.5</v>
          </cell>
          <cell r="G179" t="str">
            <v>Grey</v>
          </cell>
        </row>
        <row r="180">
          <cell r="B180">
            <v>0</v>
          </cell>
          <cell r="C180" t="str">
            <v>110 mm Dia UPVC Filter- ISO-2</v>
          </cell>
          <cell r="D180">
            <v>0</v>
          </cell>
          <cell r="E180">
            <v>10</v>
          </cell>
          <cell r="F180">
            <v>5.5</v>
          </cell>
          <cell r="G180" t="str">
            <v>White</v>
          </cell>
        </row>
        <row r="181">
          <cell r="B181">
            <v>11324</v>
          </cell>
          <cell r="C181" t="str">
            <v>110 mm Dia UPVC Filter- SWR-2</v>
          </cell>
          <cell r="D181" t="str">
            <v>2.9-3.2</v>
          </cell>
          <cell r="E181">
            <v>10</v>
          </cell>
          <cell r="F181">
            <v>5.93</v>
          </cell>
          <cell r="G181" t="str">
            <v>White</v>
          </cell>
        </row>
        <row r="182">
          <cell r="B182">
            <v>11326</v>
          </cell>
          <cell r="C182" t="str">
            <v>110 mm Dia Upvc Filter SWR-3</v>
          </cell>
          <cell r="D182" t="str">
            <v>3.2-3.4</v>
          </cell>
          <cell r="E182">
            <v>10</v>
          </cell>
          <cell r="F182">
            <v>6.45</v>
          </cell>
          <cell r="G182" t="str">
            <v>White</v>
          </cell>
        </row>
        <row r="183">
          <cell r="B183">
            <v>11322</v>
          </cell>
          <cell r="C183" t="str">
            <v>110mm Dia UPVC Filter Class SWR-1</v>
          </cell>
          <cell r="D183">
            <v>2.7</v>
          </cell>
          <cell r="E183">
            <v>10</v>
          </cell>
          <cell r="F183">
            <v>5.2</v>
          </cell>
          <cell r="G183" t="str">
            <v>White</v>
          </cell>
        </row>
        <row r="184">
          <cell r="B184">
            <v>11318</v>
          </cell>
          <cell r="C184" t="str">
            <v>110 mm SWR -1 Spl (Filter)</v>
          </cell>
          <cell r="D184" t="str">
            <v>2.6-2.8</v>
          </cell>
          <cell r="E184">
            <v>10</v>
          </cell>
          <cell r="F184">
            <v>5</v>
          </cell>
          <cell r="G184" t="str">
            <v>White</v>
          </cell>
        </row>
        <row r="185">
          <cell r="B185">
            <v>11320</v>
          </cell>
          <cell r="C185" t="str">
            <v>110mm Dia UPVC Filter Class SWR-1 Spl (Gray)</v>
          </cell>
          <cell r="D185" t="str">
            <v>2.6-2.8</v>
          </cell>
          <cell r="E185">
            <v>10</v>
          </cell>
          <cell r="F185">
            <v>5</v>
          </cell>
          <cell r="G185" t="str">
            <v>Grey</v>
          </cell>
        </row>
        <row r="186">
          <cell r="B186">
            <v>12911</v>
          </cell>
          <cell r="C186" t="str">
            <v>12 Inch Dia Upvc Filter Class-E</v>
          </cell>
          <cell r="D186" t="str">
            <v>2.9-3.3</v>
          </cell>
          <cell r="E186">
            <v>10</v>
          </cell>
          <cell r="F186">
            <v>92</v>
          </cell>
          <cell r="G186" t="str">
            <v>Grey</v>
          </cell>
        </row>
        <row r="187">
          <cell r="B187">
            <v>11334</v>
          </cell>
          <cell r="C187" t="str">
            <v>140 mm Dia Filter- Economy</v>
          </cell>
          <cell r="D187" t="str">
            <v>2.9-3.3</v>
          </cell>
          <cell r="E187">
            <v>10</v>
          </cell>
          <cell r="F187">
            <v>7.5</v>
          </cell>
          <cell r="G187" t="str">
            <v>White</v>
          </cell>
        </row>
        <row r="188">
          <cell r="B188">
            <v>11342</v>
          </cell>
          <cell r="C188" t="str">
            <v>160mm Dia PVC Pipe Class SWR-1 (Filter)</v>
          </cell>
          <cell r="D188" t="str">
            <v>3.1-3.3</v>
          </cell>
          <cell r="E188">
            <v>10</v>
          </cell>
          <cell r="F188">
            <v>10.65</v>
          </cell>
          <cell r="G188" t="str">
            <v>Grey</v>
          </cell>
        </row>
        <row r="189">
          <cell r="B189">
            <v>0</v>
          </cell>
          <cell r="C189" t="str">
            <v>ISO Pipe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</row>
        <row r="190">
          <cell r="B190">
            <v>11301</v>
          </cell>
          <cell r="C190" t="str">
            <v>32 mm Dia UPVC Pipe Class ISO</v>
          </cell>
          <cell r="D190" t="str">
            <v>4.5-5.2</v>
          </cell>
          <cell r="E190">
            <v>10</v>
          </cell>
          <cell r="F190">
            <v>1</v>
          </cell>
          <cell r="G190" t="str">
            <v>White</v>
          </cell>
        </row>
        <row r="191">
          <cell r="B191">
            <v>13399</v>
          </cell>
          <cell r="C191" t="str">
            <v>40mm Dia Upvc PN-12.5 Pipe</v>
          </cell>
          <cell r="D191" t="str">
            <v>2-4-2.9</v>
          </cell>
          <cell r="E191">
            <v>3</v>
          </cell>
          <cell r="F191">
            <v>1.71</v>
          </cell>
          <cell r="G191" t="str">
            <v>White</v>
          </cell>
        </row>
        <row r="192">
          <cell r="B192">
            <v>13207</v>
          </cell>
          <cell r="C192" t="str">
            <v>40 mm upvc pipe PN-16</v>
          </cell>
          <cell r="D192" t="str">
            <v>7.3-8.4</v>
          </cell>
          <cell r="E192">
            <v>10</v>
          </cell>
          <cell r="F192">
            <v>0</v>
          </cell>
          <cell r="G192" t="str">
            <v>White</v>
          </cell>
        </row>
        <row r="193">
          <cell r="B193">
            <v>11302</v>
          </cell>
          <cell r="C193" t="str">
            <v>40 mm Dia UPVC Pipe Class ISO</v>
          </cell>
          <cell r="D193" t="str">
            <v>7.3-8.4</v>
          </cell>
          <cell r="E193">
            <v>10</v>
          </cell>
          <cell r="F193">
            <v>1.3</v>
          </cell>
          <cell r="G193" t="str">
            <v>White</v>
          </cell>
        </row>
        <row r="194">
          <cell r="B194">
            <v>13400</v>
          </cell>
          <cell r="C194" t="str">
            <v>50mm Dia Upvc PN-12.5 Pipe</v>
          </cell>
          <cell r="D194" t="str">
            <v>3.0-3.6</v>
          </cell>
          <cell r="E194">
            <v>3</v>
          </cell>
          <cell r="F194">
            <v>2.76</v>
          </cell>
          <cell r="G194" t="str">
            <v>White</v>
          </cell>
        </row>
        <row r="195">
          <cell r="B195">
            <v>13208</v>
          </cell>
          <cell r="C195" t="str">
            <v>50 mm upvc pipe PN- 16</v>
          </cell>
          <cell r="D195" t="str">
            <v>4.5-5.2</v>
          </cell>
          <cell r="E195">
            <v>10</v>
          </cell>
          <cell r="F195">
            <v>0</v>
          </cell>
          <cell r="G195" t="str">
            <v>White</v>
          </cell>
        </row>
        <row r="196">
          <cell r="B196">
            <v>11303</v>
          </cell>
          <cell r="C196" t="str">
            <v>50mm Dia UPVC Pipe Class-ISO</v>
          </cell>
          <cell r="D196" t="str">
            <v>4.5-5.2</v>
          </cell>
          <cell r="E196">
            <v>10</v>
          </cell>
          <cell r="F196">
            <v>2.2000000000000002</v>
          </cell>
          <cell r="G196" t="str">
            <v>White</v>
          </cell>
        </row>
        <row r="197">
          <cell r="B197">
            <v>13401</v>
          </cell>
          <cell r="C197" t="str">
            <v>75mm Dia Upvc PN-12.5 Pipe</v>
          </cell>
          <cell r="D197" t="str">
            <v>4.5-6.1</v>
          </cell>
          <cell r="E197">
            <v>6</v>
          </cell>
          <cell r="F197">
            <v>11.52</v>
          </cell>
          <cell r="G197" t="str">
            <v>White</v>
          </cell>
        </row>
        <row r="198">
          <cell r="B198">
            <v>13589</v>
          </cell>
          <cell r="C198" t="str">
            <v xml:space="preserve">75mm Dia PN-20 </v>
          </cell>
          <cell r="D198" t="str">
            <v>6.8-7.7</v>
          </cell>
          <cell r="E198">
            <v>20</v>
          </cell>
          <cell r="F198">
            <v>15.4</v>
          </cell>
          <cell r="G198" t="str">
            <v>Whhite</v>
          </cell>
        </row>
        <row r="199">
          <cell r="B199">
            <v>13209</v>
          </cell>
          <cell r="C199" t="str">
            <v>80 mm upvc pipe PN-16</v>
          </cell>
          <cell r="D199" t="str">
            <v>1.5-1.7</v>
          </cell>
          <cell r="E199">
            <v>20</v>
          </cell>
          <cell r="F199">
            <v>0</v>
          </cell>
          <cell r="G199" t="str">
            <v>White</v>
          </cell>
        </row>
        <row r="200">
          <cell r="B200">
            <v>13402</v>
          </cell>
          <cell r="C200" t="str">
            <v>80mm Dia Upvc PN-12.5 Pipe</v>
          </cell>
          <cell r="D200" t="str">
            <v>4.8-6.5</v>
          </cell>
          <cell r="E200">
            <v>6</v>
          </cell>
          <cell r="F200">
            <v>13.32</v>
          </cell>
          <cell r="G200" t="str">
            <v>White</v>
          </cell>
        </row>
        <row r="201">
          <cell r="B201">
            <v>11308</v>
          </cell>
          <cell r="C201" t="str">
            <v>80mm Dia Upvc Pipe SWR Economy</v>
          </cell>
          <cell r="D201" t="str">
            <v>1.5-1.7</v>
          </cell>
          <cell r="E201">
            <v>20</v>
          </cell>
          <cell r="F201">
            <v>4.7</v>
          </cell>
          <cell r="G201" t="str">
            <v>White</v>
          </cell>
        </row>
        <row r="202">
          <cell r="B202">
            <v>11304</v>
          </cell>
          <cell r="C202" t="str">
            <v>80mm Dia Upvc Pipe SWR-0</v>
          </cell>
          <cell r="D202" t="str">
            <v>1.8-2.0</v>
          </cell>
          <cell r="E202">
            <v>20</v>
          </cell>
          <cell r="F202">
            <v>5.8</v>
          </cell>
          <cell r="G202" t="str">
            <v>White</v>
          </cell>
        </row>
        <row r="203">
          <cell r="B203">
            <v>11306</v>
          </cell>
          <cell r="C203" t="str">
            <v>80mm Dia UPVC Pipe SWR-1</v>
          </cell>
          <cell r="D203" t="str">
            <v>2.9-3.2</v>
          </cell>
          <cell r="E203">
            <v>20</v>
          </cell>
          <cell r="F203">
            <v>8</v>
          </cell>
          <cell r="G203" t="str">
            <v>White</v>
          </cell>
        </row>
        <row r="204">
          <cell r="B204">
            <v>12538</v>
          </cell>
          <cell r="C204" t="str">
            <v>80mm Dia Upvc Pipe SWR-Special (Grey)</v>
          </cell>
          <cell r="D204" t="str">
            <v>1.6-1.8</v>
          </cell>
          <cell r="E204">
            <v>20</v>
          </cell>
          <cell r="F204">
            <v>5.4</v>
          </cell>
          <cell r="G204" t="str">
            <v>White</v>
          </cell>
        </row>
        <row r="205">
          <cell r="B205">
            <v>12537</v>
          </cell>
          <cell r="C205" t="str">
            <v>80mm Dia Upvc Pipe SWR-Special (White)</v>
          </cell>
          <cell r="D205" t="str">
            <v>1.6-1.8</v>
          </cell>
          <cell r="E205">
            <v>20</v>
          </cell>
          <cell r="F205">
            <v>5.4</v>
          </cell>
          <cell r="G205" t="str">
            <v>White</v>
          </cell>
        </row>
        <row r="206">
          <cell r="B206">
            <v>13211</v>
          </cell>
          <cell r="C206" t="str">
            <v>110 mm ( 4 inch ) uPVC pipe PN-6</v>
          </cell>
          <cell r="D206" t="str">
            <v>3.2-3.4</v>
          </cell>
          <cell r="E206">
            <v>20</v>
          </cell>
          <cell r="F206">
            <v>0</v>
          </cell>
          <cell r="G206" t="str">
            <v>White</v>
          </cell>
        </row>
        <row r="207">
          <cell r="B207">
            <v>13182</v>
          </cell>
          <cell r="C207" t="str">
            <v>110 mm Dia Pipe SWR-4 (thickness 4.00-4.40)</v>
          </cell>
          <cell r="D207" t="str">
            <v>3.2-3.4</v>
          </cell>
          <cell r="E207">
            <v>20</v>
          </cell>
          <cell r="F207">
            <v>0</v>
          </cell>
          <cell r="G207" t="str">
            <v>White</v>
          </cell>
        </row>
        <row r="208">
          <cell r="B208">
            <v>11314</v>
          </cell>
          <cell r="C208" t="str">
            <v>110 mm Dia UPVC Pipe SWR Special</v>
          </cell>
          <cell r="D208" t="str">
            <v>1.8-2.1</v>
          </cell>
          <cell r="E208">
            <v>20</v>
          </cell>
          <cell r="F208">
            <v>7.6</v>
          </cell>
          <cell r="G208" t="str">
            <v>White</v>
          </cell>
        </row>
        <row r="209">
          <cell r="B209">
            <v>11313</v>
          </cell>
          <cell r="C209" t="str">
            <v>110 mm Dia UPVC Pipe Class SWR Economy</v>
          </cell>
          <cell r="D209" t="str">
            <v>1.5-1.6</v>
          </cell>
          <cell r="E209">
            <v>20</v>
          </cell>
          <cell r="F209">
            <v>6.6</v>
          </cell>
          <cell r="G209" t="str">
            <v>White</v>
          </cell>
        </row>
        <row r="210">
          <cell r="B210">
            <v>12600</v>
          </cell>
          <cell r="C210" t="str">
            <v>110 mm Dia UPVC Pipe PN-8 with Orion Socket</v>
          </cell>
          <cell r="D210" t="str">
            <v>1.8-2.1</v>
          </cell>
          <cell r="E210">
            <v>20</v>
          </cell>
          <cell r="F210">
            <v>0</v>
          </cell>
          <cell r="G210" t="str">
            <v>White</v>
          </cell>
        </row>
        <row r="211">
          <cell r="B211">
            <v>11321</v>
          </cell>
          <cell r="C211" t="str">
            <v>110 mm Dia UPVC Pipe SWR-1</v>
          </cell>
          <cell r="D211" t="str">
            <v>2.9-3.2</v>
          </cell>
          <cell r="E211">
            <v>20</v>
          </cell>
          <cell r="F211">
            <v>10.4</v>
          </cell>
          <cell r="G211" t="str">
            <v>White</v>
          </cell>
        </row>
        <row r="212">
          <cell r="B212">
            <v>11323</v>
          </cell>
          <cell r="C212" t="str">
            <v>110 mm Dia UPVC Pipe SWR-2</v>
          </cell>
          <cell r="D212" t="str">
            <v>2.9-3.2</v>
          </cell>
          <cell r="E212">
            <v>20</v>
          </cell>
          <cell r="F212">
            <v>11.85</v>
          </cell>
          <cell r="G212" t="str">
            <v>White</v>
          </cell>
        </row>
        <row r="213">
          <cell r="B213">
            <v>12934</v>
          </cell>
          <cell r="C213" t="str">
            <v>110 mm Dia Upvc Pipe SWR-3 SPL</v>
          </cell>
          <cell r="D213" t="str">
            <v>3.2-3.4</v>
          </cell>
          <cell r="E213">
            <v>20</v>
          </cell>
          <cell r="F213">
            <v>12.7</v>
          </cell>
          <cell r="G213" t="str">
            <v>White</v>
          </cell>
        </row>
        <row r="214">
          <cell r="B214">
            <v>11325</v>
          </cell>
          <cell r="C214" t="str">
            <v>110 mm Dia UPVC Pipe SWR-3</v>
          </cell>
          <cell r="D214" t="str">
            <v>3.2-3.4</v>
          </cell>
          <cell r="E214">
            <v>20</v>
          </cell>
          <cell r="F214">
            <v>12.9</v>
          </cell>
          <cell r="G214" t="str">
            <v>White</v>
          </cell>
        </row>
        <row r="215">
          <cell r="B215">
            <v>11319</v>
          </cell>
          <cell r="C215" t="str">
            <v>110mm Dia Upvc Pipe SWR-1 Special (Gray)</v>
          </cell>
          <cell r="D215" t="str">
            <v>2.4-2.6</v>
          </cell>
          <cell r="E215">
            <v>20</v>
          </cell>
          <cell r="F215">
            <v>10</v>
          </cell>
          <cell r="G215" t="str">
            <v>Grey</v>
          </cell>
        </row>
        <row r="216">
          <cell r="B216">
            <v>11309</v>
          </cell>
          <cell r="C216" t="str">
            <v>110mm Dia UPVC Pipe ISO-2</v>
          </cell>
          <cell r="D216" t="str">
            <v>2.8-3.0</v>
          </cell>
          <cell r="E216">
            <v>20</v>
          </cell>
          <cell r="F216">
            <v>11</v>
          </cell>
          <cell r="G216" t="str">
            <v>White</v>
          </cell>
        </row>
        <row r="217">
          <cell r="B217">
            <v>11311</v>
          </cell>
          <cell r="C217" t="str">
            <v>110mm Dia UPVC Pipe ISO-3</v>
          </cell>
          <cell r="D217" t="str">
            <v>3.0-3.2</v>
          </cell>
          <cell r="E217">
            <v>20</v>
          </cell>
          <cell r="F217">
            <v>12.3</v>
          </cell>
          <cell r="G217" t="str">
            <v>White</v>
          </cell>
        </row>
        <row r="218">
          <cell r="B218">
            <v>12155</v>
          </cell>
          <cell r="C218" t="str">
            <v>110mm Dia Upvc Pipe SWR-0</v>
          </cell>
          <cell r="D218" t="str">
            <v>2.3-2.5</v>
          </cell>
          <cell r="E218">
            <v>20</v>
          </cell>
          <cell r="F218">
            <v>9.5</v>
          </cell>
          <cell r="G218" t="str">
            <v>White</v>
          </cell>
        </row>
        <row r="219">
          <cell r="B219">
            <v>11316</v>
          </cell>
          <cell r="C219" t="str">
            <v>110mm Dia Upvc Pipe SWR-1 Smart</v>
          </cell>
          <cell r="D219" t="str">
            <v>2.4-2.7</v>
          </cell>
          <cell r="E219">
            <v>20</v>
          </cell>
          <cell r="F219">
            <v>9.5</v>
          </cell>
          <cell r="G219" t="str">
            <v>White</v>
          </cell>
        </row>
        <row r="220">
          <cell r="B220">
            <v>13438</v>
          </cell>
          <cell r="C220" t="str">
            <v>110mm Dia Upvc Pipe SWR-1 Smart</v>
          </cell>
          <cell r="D220" t="str">
            <v>2.5-2.7</v>
          </cell>
          <cell r="E220">
            <v>20</v>
          </cell>
          <cell r="F220">
            <v>9.5</v>
          </cell>
          <cell r="G220" t="str">
            <v>White</v>
          </cell>
        </row>
        <row r="221">
          <cell r="B221">
            <v>11317</v>
          </cell>
          <cell r="C221" t="str">
            <v>110mm Dia Upvc Pipe SWR-1 Special (White)</v>
          </cell>
          <cell r="D221" t="str">
            <v>2.4-2.6</v>
          </cell>
          <cell r="E221">
            <v>20</v>
          </cell>
          <cell r="F221">
            <v>10</v>
          </cell>
          <cell r="G221" t="str">
            <v>White</v>
          </cell>
        </row>
        <row r="222">
          <cell r="B222">
            <v>11328</v>
          </cell>
          <cell r="C222" t="str">
            <v>110mm Dia Upvc Pipe SWR-4 (White)</v>
          </cell>
          <cell r="D222" t="str">
            <v>3.4-4.0</v>
          </cell>
          <cell r="E222">
            <v>20</v>
          </cell>
          <cell r="F222">
            <v>16.5</v>
          </cell>
          <cell r="G222" t="str">
            <v>White</v>
          </cell>
        </row>
        <row r="223">
          <cell r="B223">
            <v>11329</v>
          </cell>
          <cell r="C223" t="str">
            <v>110mm Dia Upvc PN-8 Pipe</v>
          </cell>
          <cell r="D223" t="str">
            <v>3.4-4.0</v>
          </cell>
          <cell r="E223">
            <v>20</v>
          </cell>
          <cell r="F223">
            <v>12.6</v>
          </cell>
          <cell r="G223" t="str">
            <v>White</v>
          </cell>
        </row>
        <row r="224">
          <cell r="B224">
            <v>12712</v>
          </cell>
          <cell r="C224" t="str">
            <v>110mm Dia Upvc PN-10 Pipe</v>
          </cell>
          <cell r="D224" t="str">
            <v>4.20-4.90</v>
          </cell>
          <cell r="E224">
            <v>20</v>
          </cell>
          <cell r="F224">
            <v>15.5</v>
          </cell>
          <cell r="G224" t="str">
            <v>White</v>
          </cell>
        </row>
        <row r="225">
          <cell r="B225">
            <v>13403</v>
          </cell>
          <cell r="C225" t="str">
            <v>110mm Dia Upvc PN-12.5 Pipe</v>
          </cell>
          <cell r="D225" t="str">
            <v>5.3-6.1</v>
          </cell>
          <cell r="E225" t="str">
            <v>6m</v>
          </cell>
          <cell r="F225">
            <v>19.799999999999997</v>
          </cell>
          <cell r="G225" t="str">
            <v>White</v>
          </cell>
        </row>
        <row r="226">
          <cell r="B226">
            <v>11315</v>
          </cell>
          <cell r="C226" t="str">
            <v>110mm Dia Upvc SWR (Smart)</v>
          </cell>
          <cell r="D226" t="str">
            <v>2.3-2.5</v>
          </cell>
          <cell r="E226">
            <v>20</v>
          </cell>
          <cell r="F226">
            <v>9.5</v>
          </cell>
          <cell r="G226" t="str">
            <v>White</v>
          </cell>
        </row>
        <row r="227">
          <cell r="B227">
            <v>11333</v>
          </cell>
          <cell r="C227" t="str">
            <v>140 mm Dia Pipe - Economy</v>
          </cell>
          <cell r="D227" t="str">
            <v>2.9-3.3</v>
          </cell>
          <cell r="E227">
            <v>20</v>
          </cell>
          <cell r="F227">
            <v>15</v>
          </cell>
          <cell r="G227" t="str">
            <v>White</v>
          </cell>
        </row>
        <row r="228">
          <cell r="B228">
            <v>13212</v>
          </cell>
          <cell r="C228" t="str">
            <v>160 mm ( 6 inch) uPVC pipe PN-6</v>
          </cell>
          <cell r="D228" t="str">
            <v>3.0-3.2</v>
          </cell>
          <cell r="E228">
            <v>20</v>
          </cell>
          <cell r="F228">
            <v>21.9</v>
          </cell>
          <cell r="G228" t="str">
            <v>White</v>
          </cell>
        </row>
        <row r="229">
          <cell r="B229">
            <v>13192</v>
          </cell>
          <cell r="C229" t="str">
            <v>160 mm Dia Pipe (PN-10)</v>
          </cell>
          <cell r="D229" t="str">
            <v>3.0-3.2</v>
          </cell>
          <cell r="E229">
            <v>20</v>
          </cell>
          <cell r="F229">
            <v>31.5</v>
          </cell>
          <cell r="G229" t="str">
            <v>White</v>
          </cell>
        </row>
        <row r="230">
          <cell r="B230">
            <v>11278</v>
          </cell>
          <cell r="C230" t="str">
            <v>160 mm Dia SWR-0 (SP)</v>
          </cell>
          <cell r="D230" t="str">
            <v>3.0-3.2</v>
          </cell>
          <cell r="E230">
            <v>20</v>
          </cell>
          <cell r="F230">
            <v>17.5</v>
          </cell>
          <cell r="G230" t="str">
            <v>White</v>
          </cell>
        </row>
        <row r="231">
          <cell r="B231">
            <v>11337</v>
          </cell>
          <cell r="C231" t="str">
            <v>160 mm Dia Upvc Pipe SWR -Economy</v>
          </cell>
          <cell r="D231" t="str">
            <v>2.7-3.0</v>
          </cell>
          <cell r="E231">
            <v>20</v>
          </cell>
          <cell r="F231">
            <v>16</v>
          </cell>
          <cell r="G231" t="str">
            <v>White</v>
          </cell>
        </row>
        <row r="232">
          <cell r="B232">
            <v>12170</v>
          </cell>
          <cell r="C232" t="str">
            <v>160 mm Dia Upvc Pipe SWR-2 (White)</v>
          </cell>
          <cell r="D232" t="str">
            <v>2.7-3.0</v>
          </cell>
          <cell r="E232">
            <v>20</v>
          </cell>
          <cell r="F232">
            <v>25.3</v>
          </cell>
          <cell r="G232" t="str">
            <v>White</v>
          </cell>
        </row>
        <row r="233">
          <cell r="B233">
            <v>11358</v>
          </cell>
          <cell r="C233" t="str">
            <v>160 mm Dia Upvc Pipe SWR-SP</v>
          </cell>
          <cell r="D233" t="str">
            <v>2.7-3.0</v>
          </cell>
          <cell r="E233">
            <v>20</v>
          </cell>
          <cell r="F233">
            <v>16</v>
          </cell>
          <cell r="G233" t="str">
            <v>Grey</v>
          </cell>
        </row>
        <row r="234">
          <cell r="B234">
            <v>13374</v>
          </cell>
          <cell r="C234" t="str">
            <v>160mm Dia Upvc PN-16 Pipe</v>
          </cell>
          <cell r="D234" t="str">
            <v>9.5-11</v>
          </cell>
          <cell r="E234" t="str">
            <v>6 m</v>
          </cell>
          <cell r="F234">
            <v>51</v>
          </cell>
          <cell r="G234" t="str">
            <v>White</v>
          </cell>
        </row>
        <row r="235">
          <cell r="B235">
            <v>11282</v>
          </cell>
          <cell r="C235" t="str">
            <v>160 mm UPVC Pipe SWR- SP</v>
          </cell>
          <cell r="D235" t="str">
            <v>2.6-2.8</v>
          </cell>
          <cell r="E235">
            <v>20</v>
          </cell>
          <cell r="F235">
            <v>16</v>
          </cell>
          <cell r="G235" t="str">
            <v>Grey</v>
          </cell>
        </row>
        <row r="236">
          <cell r="B236">
            <v>11338</v>
          </cell>
          <cell r="C236" t="str">
            <v>160 mm UPVC Pipe SWR- Special</v>
          </cell>
          <cell r="D236" t="str">
            <v>2.6-2.8</v>
          </cell>
          <cell r="E236">
            <v>20</v>
          </cell>
          <cell r="F236">
            <v>16.2</v>
          </cell>
          <cell r="G236" t="str">
            <v>White</v>
          </cell>
        </row>
        <row r="237">
          <cell r="B237">
            <v>11341</v>
          </cell>
          <cell r="C237" t="str">
            <v>160mm Dia PVC Pipe Class SWR-1</v>
          </cell>
          <cell r="D237" t="str">
            <v>3.8-4.1</v>
          </cell>
          <cell r="E237">
            <v>20</v>
          </cell>
          <cell r="F237">
            <v>22.3</v>
          </cell>
          <cell r="G237" t="str">
            <v>White</v>
          </cell>
        </row>
        <row r="238">
          <cell r="B238">
            <v>11339</v>
          </cell>
          <cell r="C238" t="str">
            <v>160mm Dia UPVC Pipe Class SWR-0</v>
          </cell>
          <cell r="D238" t="str">
            <v>3.1-3.3</v>
          </cell>
          <cell r="E238">
            <v>20</v>
          </cell>
          <cell r="F238">
            <v>18.2</v>
          </cell>
          <cell r="G238" t="str">
            <v>White</v>
          </cell>
        </row>
        <row r="239">
          <cell r="B239">
            <v>11336</v>
          </cell>
          <cell r="C239" t="str">
            <v>160mm Dia UPVC Pipe ISO (R) (Thickness 4.5-4.6 6mm)</v>
          </cell>
          <cell r="D239" t="str">
            <v>4.5-4.6</v>
          </cell>
          <cell r="E239">
            <v>20</v>
          </cell>
          <cell r="F239">
            <v>25.7</v>
          </cell>
          <cell r="G239" t="str">
            <v>White</v>
          </cell>
        </row>
        <row r="240">
          <cell r="B240">
            <v>11335</v>
          </cell>
          <cell r="C240" t="str">
            <v>160mm Dia Upvc PN-8 Pipe</v>
          </cell>
          <cell r="D240" t="str">
            <v>4.2-4.6</v>
          </cell>
          <cell r="E240">
            <v>20</v>
          </cell>
          <cell r="F240">
            <v>26.6</v>
          </cell>
          <cell r="G240" t="str">
            <v>White</v>
          </cell>
        </row>
        <row r="241">
          <cell r="B241">
            <v>13404</v>
          </cell>
          <cell r="C241" t="str">
            <v>160mm Dia Upvc PN-12.5 Pipe</v>
          </cell>
          <cell r="D241" t="str">
            <v>7.7-8.7</v>
          </cell>
          <cell r="E241" t="str">
            <v>6m</v>
          </cell>
          <cell r="F241">
            <v>41.58</v>
          </cell>
          <cell r="G241" t="str">
            <v>White</v>
          </cell>
        </row>
        <row r="242">
          <cell r="B242">
            <v>11431</v>
          </cell>
          <cell r="C242" t="str">
            <v>Thick 4.5 160mm Dia PVC Pipe Class SWR-2</v>
          </cell>
          <cell r="D242" t="str">
            <v>4.3-4.5</v>
          </cell>
          <cell r="E242">
            <v>20</v>
          </cell>
          <cell r="F242">
            <v>25.3</v>
          </cell>
          <cell r="G242" t="str">
            <v>White</v>
          </cell>
        </row>
        <row r="243">
          <cell r="B243">
            <v>13213</v>
          </cell>
          <cell r="C243" t="str">
            <v>200 mm ( 8 inch ) uPVC pipe PN- 6</v>
          </cell>
          <cell r="D243" t="str">
            <v>2.6-2.8</v>
          </cell>
          <cell r="E243">
            <v>20</v>
          </cell>
          <cell r="F243">
            <v>0</v>
          </cell>
          <cell r="G243" t="str">
            <v>White</v>
          </cell>
        </row>
        <row r="244">
          <cell r="B244">
            <v>13193</v>
          </cell>
          <cell r="C244" t="str">
            <v>200 mm Dia Pipe (PN-10)</v>
          </cell>
          <cell r="D244" t="str">
            <v>2.6-2.8</v>
          </cell>
          <cell r="E244">
            <v>20</v>
          </cell>
          <cell r="F244">
            <v>45.5</v>
          </cell>
          <cell r="G244" t="str">
            <v>White</v>
          </cell>
        </row>
        <row r="245">
          <cell r="B245">
            <v>11347</v>
          </cell>
          <cell r="C245" t="str">
            <v>200 mm Dia Upvc Pipe -Spl (2.7)</v>
          </cell>
          <cell r="D245" t="str">
            <v>2.6-2.8</v>
          </cell>
          <cell r="E245">
            <v>20</v>
          </cell>
          <cell r="F245">
            <v>19.2</v>
          </cell>
          <cell r="G245" t="str">
            <v>Grey</v>
          </cell>
        </row>
        <row r="246">
          <cell r="B246">
            <v>11345</v>
          </cell>
          <cell r="C246" t="str">
            <v>200 MM Dia UPVC Pipe SWR-1</v>
          </cell>
          <cell r="D246" t="str">
            <v>3.8-4.2</v>
          </cell>
          <cell r="E246">
            <v>20</v>
          </cell>
          <cell r="F246">
            <v>29</v>
          </cell>
          <cell r="G246" t="str">
            <v>White</v>
          </cell>
        </row>
        <row r="247">
          <cell r="B247">
            <v>11346</v>
          </cell>
          <cell r="C247" t="str">
            <v>200 MM Dia UPVC Pipe SWR-2</v>
          </cell>
          <cell r="D247" t="str">
            <v>4.8-5.2</v>
          </cell>
          <cell r="E247">
            <v>20</v>
          </cell>
          <cell r="F247">
            <v>35.200000000000003</v>
          </cell>
          <cell r="G247" t="str">
            <v>White</v>
          </cell>
        </row>
        <row r="248">
          <cell r="B248">
            <v>13405</v>
          </cell>
          <cell r="C248" t="str">
            <v>200mm Dia Upvc PN-12.5 Pipe</v>
          </cell>
          <cell r="D248" t="str">
            <v>9.6-10.4</v>
          </cell>
          <cell r="E248" t="str">
            <v>6m</v>
          </cell>
          <cell r="F248">
            <v>64.8</v>
          </cell>
          <cell r="G248" t="str">
            <v>White</v>
          </cell>
        </row>
        <row r="249">
          <cell r="B249">
            <v>11348</v>
          </cell>
          <cell r="C249" t="str">
            <v>200mm Upvc SWR Pipe (PN-8)</v>
          </cell>
          <cell r="D249" t="str">
            <v>3.0-3.2</v>
          </cell>
          <cell r="E249">
            <v>20</v>
          </cell>
          <cell r="F249">
            <v>39.200000000000003</v>
          </cell>
          <cell r="G249" t="str">
            <v>White</v>
          </cell>
        </row>
        <row r="250">
          <cell r="B250">
            <v>13066</v>
          </cell>
          <cell r="C250" t="str">
            <v>225 mm Dia Pipe (PN-8)</v>
          </cell>
          <cell r="D250" t="str">
            <v>3.0-3.2</v>
          </cell>
          <cell r="E250">
            <v>20</v>
          </cell>
          <cell r="F250">
            <v>47.5</v>
          </cell>
          <cell r="G250" t="str">
            <v>White</v>
          </cell>
        </row>
        <row r="251">
          <cell r="B251">
            <v>11350</v>
          </cell>
          <cell r="C251" t="str">
            <v>250 mm Dia Upvc Pipe SWR-1 (3.1 Gray)</v>
          </cell>
          <cell r="D251" t="str">
            <v>3.0-3.2</v>
          </cell>
          <cell r="E251">
            <v>20</v>
          </cell>
          <cell r="F251">
            <v>28</v>
          </cell>
          <cell r="G251" t="str">
            <v>Grey</v>
          </cell>
        </row>
        <row r="252">
          <cell r="B252">
            <v>13218</v>
          </cell>
          <cell r="C252" t="str">
            <v>250 mm Dia Upvc Pipe SWR-2</v>
          </cell>
          <cell r="D252" t="str">
            <v>3.0-3.2</v>
          </cell>
          <cell r="E252">
            <v>20</v>
          </cell>
          <cell r="F252">
            <v>34.1</v>
          </cell>
          <cell r="G252" t="str">
            <v>Grey</v>
          </cell>
        </row>
        <row r="253">
          <cell r="B253">
            <v>11351</v>
          </cell>
          <cell r="C253" t="str">
            <v>250 mm Dia Upvc Pipe SWR-2 (3.9 Grey)</v>
          </cell>
          <cell r="D253" t="str">
            <v>3.0-3.2</v>
          </cell>
          <cell r="E253">
            <v>20</v>
          </cell>
          <cell r="F253">
            <v>34.1</v>
          </cell>
          <cell r="G253" t="str">
            <v>Grey</v>
          </cell>
        </row>
        <row r="254">
          <cell r="B254">
            <v>11349</v>
          </cell>
          <cell r="C254" t="str">
            <v>250mm Dia UPVC Pipe SWR-1</v>
          </cell>
          <cell r="D254" t="str">
            <v>3.0-3.2</v>
          </cell>
          <cell r="E254">
            <v>20</v>
          </cell>
          <cell r="F254">
            <v>28</v>
          </cell>
          <cell r="G254" t="str">
            <v>Grey</v>
          </cell>
        </row>
        <row r="255">
          <cell r="B255">
            <v>12477</v>
          </cell>
          <cell r="C255" t="str">
            <v>250mm Dia UPVC Cassing Pipe (Grey)</v>
          </cell>
          <cell r="D255">
            <v>0</v>
          </cell>
          <cell r="E255">
            <v>20</v>
          </cell>
          <cell r="F255">
            <v>38.5</v>
          </cell>
          <cell r="G255" t="str">
            <v>Grey</v>
          </cell>
        </row>
        <row r="256">
          <cell r="B256">
            <v>11352</v>
          </cell>
          <cell r="C256" t="str">
            <v>250mm UPVC Pipe(PN-8)</v>
          </cell>
          <cell r="D256" t="str">
            <v>3.0-3.2</v>
          </cell>
          <cell r="E256">
            <v>20</v>
          </cell>
          <cell r="F256">
            <v>54</v>
          </cell>
          <cell r="G256" t="str">
            <v>White</v>
          </cell>
        </row>
        <row r="257">
          <cell r="B257">
            <v>12539</v>
          </cell>
          <cell r="C257" t="str">
            <v>280mm Dia Upvc Pipe PN-8</v>
          </cell>
          <cell r="D257" t="str">
            <v>3.0-3.2</v>
          </cell>
          <cell r="E257">
            <v>20</v>
          </cell>
          <cell r="F257">
            <v>0</v>
          </cell>
          <cell r="G257" t="str">
            <v>White</v>
          </cell>
        </row>
        <row r="258">
          <cell r="B258">
            <v>0</v>
          </cell>
          <cell r="C258" t="str">
            <v>Thread Pipe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</row>
        <row r="259">
          <cell r="B259">
            <v>11501</v>
          </cell>
          <cell r="C259" t="str">
            <v>0.5 Inch Dia UPVC Thread Pipe</v>
          </cell>
          <cell r="D259" t="str">
            <v>3.2-3.8</v>
          </cell>
          <cell r="E259">
            <v>10</v>
          </cell>
          <cell r="F259">
            <v>0.87</v>
          </cell>
          <cell r="G259" t="str">
            <v>Green</v>
          </cell>
        </row>
        <row r="260">
          <cell r="B260">
            <v>11502</v>
          </cell>
          <cell r="C260" t="str">
            <v>0.75 Inch Dia UPVC Thread Pipe</v>
          </cell>
          <cell r="D260" t="str">
            <v>3.4-4.0</v>
          </cell>
          <cell r="E260">
            <v>10</v>
          </cell>
          <cell r="F260">
            <v>1.24</v>
          </cell>
          <cell r="G260" t="str">
            <v>Green</v>
          </cell>
        </row>
        <row r="261">
          <cell r="B261">
            <v>11503</v>
          </cell>
          <cell r="C261" t="str">
            <v>1 Inch Dia UPVC Thread Pipe</v>
          </cell>
          <cell r="D261" t="str">
            <v>3.5-4.1</v>
          </cell>
          <cell r="E261">
            <v>10</v>
          </cell>
          <cell r="F261">
            <v>1.65</v>
          </cell>
          <cell r="G261" t="str">
            <v>Green</v>
          </cell>
        </row>
        <row r="262">
          <cell r="B262">
            <v>11504</v>
          </cell>
          <cell r="C262" t="str">
            <v>1.25 Inch Dia UPVC Thread Pipe</v>
          </cell>
          <cell r="D262" t="str">
            <v>4.2-4.9</v>
          </cell>
          <cell r="E262">
            <v>10</v>
          </cell>
          <cell r="F262">
            <v>2.42</v>
          </cell>
          <cell r="G262" t="str">
            <v>Green</v>
          </cell>
        </row>
        <row r="263">
          <cell r="B263">
            <v>11505</v>
          </cell>
          <cell r="C263" t="str">
            <v>1.5 Inch Dia UPVC Thread Pipe</v>
          </cell>
          <cell r="D263" t="str">
            <v>4.5-5.2</v>
          </cell>
          <cell r="E263">
            <v>10</v>
          </cell>
          <cell r="F263">
            <v>2.9</v>
          </cell>
          <cell r="G263" t="str">
            <v>Green</v>
          </cell>
        </row>
        <row r="264">
          <cell r="B264">
            <v>11506</v>
          </cell>
          <cell r="C264" t="str">
            <v>2 Inch Dia UPVC Thread Pipe</v>
          </cell>
          <cell r="D264" t="str">
            <v>4.6-5.3</v>
          </cell>
          <cell r="E264">
            <v>10</v>
          </cell>
          <cell r="F264">
            <v>3.9</v>
          </cell>
          <cell r="G264" t="str">
            <v>Green</v>
          </cell>
        </row>
        <row r="265">
          <cell r="B265">
            <v>0</v>
          </cell>
          <cell r="C265" t="str">
            <v>Coil Pipe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</row>
        <row r="266">
          <cell r="B266">
            <v>12568</v>
          </cell>
          <cell r="C266" t="str">
            <v>0.5 Inc HDPE Coil Pipe-Green</v>
          </cell>
          <cell r="D266" t="str">
            <v>2.0-2.2</v>
          </cell>
          <cell r="E266">
            <v>500</v>
          </cell>
          <cell r="F266">
            <v>19.5</v>
          </cell>
          <cell r="G266" t="str">
            <v>Green</v>
          </cell>
        </row>
        <row r="267">
          <cell r="B267">
            <v>12569</v>
          </cell>
          <cell r="C267" t="str">
            <v>0.75 Inc HDPE Coil Pipe-Green</v>
          </cell>
          <cell r="D267" t="str">
            <v>2.2-2.4</v>
          </cell>
          <cell r="E267">
            <v>500</v>
          </cell>
          <cell r="F267">
            <v>24.5</v>
          </cell>
          <cell r="G267" t="str">
            <v>Green</v>
          </cell>
        </row>
        <row r="268">
          <cell r="B268">
            <v>12570</v>
          </cell>
          <cell r="C268" t="str">
            <v>1 Inc HDPE Coil Pipe-Green</v>
          </cell>
          <cell r="D268" t="str">
            <v>2.2-2.4</v>
          </cell>
          <cell r="E268">
            <v>500</v>
          </cell>
          <cell r="F268">
            <v>35</v>
          </cell>
          <cell r="G268" t="str">
            <v>Green</v>
          </cell>
        </row>
        <row r="269">
          <cell r="B269">
            <v>12571</v>
          </cell>
          <cell r="C269" t="str">
            <v>1.25 Inc HDPE Coil Pipe-Green</v>
          </cell>
          <cell r="D269" t="str">
            <v>2.5-2.6</v>
          </cell>
          <cell r="E269">
            <v>500</v>
          </cell>
          <cell r="F269">
            <v>46</v>
          </cell>
          <cell r="G269" t="str">
            <v>Green</v>
          </cell>
        </row>
        <row r="270">
          <cell r="B270">
            <v>12572</v>
          </cell>
          <cell r="C270" t="str">
            <v>1.5 Inc HDPE Coil Pipe-Green</v>
          </cell>
          <cell r="D270" t="str">
            <v>2.5-2.6</v>
          </cell>
          <cell r="E270">
            <v>300</v>
          </cell>
          <cell r="F270">
            <v>36.5</v>
          </cell>
          <cell r="G270" t="str">
            <v>Green</v>
          </cell>
        </row>
        <row r="271">
          <cell r="B271">
            <v>12573</v>
          </cell>
          <cell r="C271" t="str">
            <v>2 Inc HDPE Coil Pipe-Green</v>
          </cell>
          <cell r="D271" t="str">
            <v>4.2-4.6</v>
          </cell>
          <cell r="E271">
            <v>300</v>
          </cell>
          <cell r="F271">
            <v>74.099999999999994</v>
          </cell>
          <cell r="G271" t="str">
            <v>Green</v>
          </cell>
        </row>
        <row r="272">
          <cell r="B272">
            <v>0</v>
          </cell>
          <cell r="C272" t="str">
            <v>PPR Pipe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</row>
        <row r="273">
          <cell r="B273">
            <v>12676</v>
          </cell>
          <cell r="C273" t="str">
            <v>0.50 Inch Dia PPR Pipe-Green</v>
          </cell>
          <cell r="D273" t="str">
            <v>2.8-3.0</v>
          </cell>
          <cell r="E273">
            <v>10</v>
          </cell>
          <cell r="F273">
            <v>0.48</v>
          </cell>
          <cell r="G273" t="str">
            <v>Green</v>
          </cell>
        </row>
        <row r="274">
          <cell r="B274">
            <v>12677</v>
          </cell>
          <cell r="C274" t="str">
            <v>0.75 Inch Dia PPR Pipe-Green</v>
          </cell>
          <cell r="D274" t="str">
            <v>3.5-3.7</v>
          </cell>
          <cell r="E274">
            <v>10</v>
          </cell>
          <cell r="F274">
            <v>0.75</v>
          </cell>
          <cell r="G274" t="str">
            <v>Green</v>
          </cell>
        </row>
        <row r="275">
          <cell r="B275">
            <v>12678</v>
          </cell>
          <cell r="C275" t="str">
            <v>1 Inch Dia PPR Pipe-Green</v>
          </cell>
          <cell r="D275" t="str">
            <v>4.4-4.6</v>
          </cell>
          <cell r="E275">
            <v>10</v>
          </cell>
          <cell r="F275">
            <v>1.2</v>
          </cell>
          <cell r="G275" t="str">
            <v>Green</v>
          </cell>
        </row>
        <row r="276">
          <cell r="B276">
            <v>12679</v>
          </cell>
          <cell r="C276" t="str">
            <v>1.25 Inch Dia PPR Pipe-Green</v>
          </cell>
          <cell r="D276" t="str">
            <v>4.5-4.7</v>
          </cell>
          <cell r="E276">
            <v>10</v>
          </cell>
          <cell r="F276">
            <v>1.5</v>
          </cell>
          <cell r="G276" t="str">
            <v>Green</v>
          </cell>
        </row>
        <row r="277">
          <cell r="B277">
            <v>12680</v>
          </cell>
          <cell r="C277" t="str">
            <v>1.5 Inch Dia PPR Pipe-Green</v>
          </cell>
          <cell r="D277" t="str">
            <v>5.6-5.8</v>
          </cell>
          <cell r="E277">
            <v>10</v>
          </cell>
          <cell r="F277">
            <v>2.2999999999999998</v>
          </cell>
          <cell r="G277" t="str">
            <v>Green</v>
          </cell>
        </row>
        <row r="278">
          <cell r="B278">
            <v>12681</v>
          </cell>
          <cell r="C278" t="str">
            <v>2 Inch Dia PPR Pipe-Green</v>
          </cell>
          <cell r="D278" t="str">
            <v>7.1-7.3</v>
          </cell>
          <cell r="E278">
            <v>10</v>
          </cell>
          <cell r="F278">
            <v>3.6</v>
          </cell>
          <cell r="G278" t="str">
            <v>Green</v>
          </cell>
        </row>
        <row r="279">
          <cell r="B279">
            <v>0</v>
          </cell>
          <cell r="C279" t="str">
            <v>cPVC Pipe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</row>
        <row r="280">
          <cell r="B280">
            <v>13386</v>
          </cell>
          <cell r="C280" t="str">
            <v>CPVC Pipe 1/2''(15mm)X3M-SDR-13.5</v>
          </cell>
          <cell r="D280" t="str">
            <v>1.4-1.9</v>
          </cell>
          <cell r="E280">
            <v>9.84</v>
          </cell>
          <cell r="F280">
            <v>0.35</v>
          </cell>
          <cell r="G280" t="str">
            <v>Off White</v>
          </cell>
        </row>
        <row r="281">
          <cell r="B281">
            <v>13387</v>
          </cell>
          <cell r="C281" t="str">
            <v>CPVC Pipe 3/4''(20mm)X3M-SDR-13.5</v>
          </cell>
          <cell r="D281" t="str">
            <v>1.7-2.2</v>
          </cell>
          <cell r="E281">
            <v>9.84</v>
          </cell>
          <cell r="F281">
            <v>0.55000000000000004</v>
          </cell>
          <cell r="G281" t="str">
            <v>Off White</v>
          </cell>
        </row>
        <row r="282">
          <cell r="B282">
            <v>13388</v>
          </cell>
          <cell r="C282" t="str">
            <v>CPVC Pipe 1''(25mm)X3M-SDR-13.5</v>
          </cell>
          <cell r="D282" t="str">
            <v>2.1-2.6</v>
          </cell>
          <cell r="E282">
            <v>9.84</v>
          </cell>
          <cell r="F282">
            <v>0.9</v>
          </cell>
          <cell r="G282" t="str">
            <v>Off White</v>
          </cell>
        </row>
        <row r="283">
          <cell r="B283">
            <v>13389</v>
          </cell>
          <cell r="C283" t="str">
            <v>CPVC Pipe 1.25''(32mm)X3M-SDR-13.5</v>
          </cell>
          <cell r="D283" t="str">
            <v>2.6-3.1</v>
          </cell>
          <cell r="E283">
            <v>9.84</v>
          </cell>
          <cell r="F283">
            <v>1.32</v>
          </cell>
          <cell r="G283" t="str">
            <v>Off White</v>
          </cell>
        </row>
        <row r="284">
          <cell r="B284">
            <v>13390</v>
          </cell>
          <cell r="C284" t="str">
            <v>CPVC Pipe 1.5''(40mm)X3M-SDR-13.5</v>
          </cell>
          <cell r="D284" t="str">
            <v>3.1-3.6</v>
          </cell>
          <cell r="E284">
            <v>9.84</v>
          </cell>
          <cell r="F284">
            <v>1.8</v>
          </cell>
          <cell r="G284" t="str">
            <v>Off White</v>
          </cell>
        </row>
        <row r="285">
          <cell r="B285">
            <v>13391</v>
          </cell>
          <cell r="C285" t="str">
            <v>CPVC Pipe 2''(50mm)X3M-SDR-13.5</v>
          </cell>
          <cell r="D285" t="str">
            <v>4-4.6</v>
          </cell>
          <cell r="E285">
            <v>9.84</v>
          </cell>
          <cell r="F285">
            <v>3.1</v>
          </cell>
          <cell r="G285" t="str">
            <v>Off White</v>
          </cell>
        </row>
        <row r="286">
          <cell r="B286">
            <v>13380</v>
          </cell>
          <cell r="C286" t="str">
            <v>CPVC Pipe 1/2''(15mm)X3M-SDR-11</v>
          </cell>
          <cell r="D286" t="str">
            <v>1.7-2.2</v>
          </cell>
          <cell r="E286">
            <v>9.84</v>
          </cell>
          <cell r="F286">
            <v>0.38</v>
          </cell>
          <cell r="G286" t="str">
            <v>Off White</v>
          </cell>
        </row>
        <row r="287">
          <cell r="B287">
            <v>13381</v>
          </cell>
          <cell r="C287" t="str">
            <v>CPVC Pipe 3/4''(20mm)X3M-SDR-11</v>
          </cell>
          <cell r="D287" t="str">
            <v>2-2.5</v>
          </cell>
          <cell r="E287">
            <v>9.84</v>
          </cell>
          <cell r="F287">
            <v>0.65</v>
          </cell>
          <cell r="G287" t="str">
            <v>Off White</v>
          </cell>
        </row>
        <row r="288">
          <cell r="B288">
            <v>13382</v>
          </cell>
          <cell r="C288" t="str">
            <v>CPVC Pipe 1''(25mm)X3M-SDR-11</v>
          </cell>
          <cell r="D288" t="str">
            <v>2.6-3.1</v>
          </cell>
          <cell r="E288">
            <v>9.84</v>
          </cell>
          <cell r="F288">
            <v>1.1000000000000001</v>
          </cell>
          <cell r="G288" t="str">
            <v>Off White</v>
          </cell>
        </row>
        <row r="289">
          <cell r="B289">
            <v>13383</v>
          </cell>
          <cell r="C289" t="str">
            <v>CPVC Pipe 1.25''(32mm)X3M-SDR-11</v>
          </cell>
          <cell r="D289" t="str">
            <v>3.2-3.7</v>
          </cell>
          <cell r="E289">
            <v>9.84</v>
          </cell>
          <cell r="F289">
            <v>1.6</v>
          </cell>
          <cell r="G289" t="str">
            <v>Off White</v>
          </cell>
        </row>
        <row r="290">
          <cell r="B290">
            <v>13384</v>
          </cell>
          <cell r="C290" t="str">
            <v>CPVC Pipe 1.5''(40mm)X3M-SDR-11</v>
          </cell>
          <cell r="D290" t="str">
            <v>3.8-4.3</v>
          </cell>
          <cell r="E290">
            <v>9.84</v>
          </cell>
          <cell r="F290">
            <v>2.1</v>
          </cell>
          <cell r="G290" t="str">
            <v>Off White</v>
          </cell>
        </row>
        <row r="291">
          <cell r="B291">
            <v>13385</v>
          </cell>
          <cell r="C291" t="str">
            <v>CPVC Pipe 2''(50mm)X3M-SDR-11</v>
          </cell>
          <cell r="D291" t="str">
            <v>4.9-5.5</v>
          </cell>
          <cell r="E291">
            <v>9.84</v>
          </cell>
          <cell r="F291">
            <v>3.65</v>
          </cell>
          <cell r="G291" t="str">
            <v>Off White</v>
          </cell>
        </row>
        <row r="292">
          <cell r="B292">
            <v>0</v>
          </cell>
          <cell r="C292" t="str">
            <v>Plumbing pipe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</row>
        <row r="293">
          <cell r="B293">
            <v>13530</v>
          </cell>
          <cell r="C293" t="str">
            <v>0.5 Inch Dia x 10ft UPVC Push Pipe-White</v>
          </cell>
          <cell r="D293" t="str">
            <v>2.8-3.2</v>
          </cell>
          <cell r="E293" t="str">
            <v>3 mt</v>
          </cell>
          <cell r="F293">
            <v>0.85</v>
          </cell>
          <cell r="G293" t="str">
            <v>White</v>
          </cell>
        </row>
        <row r="294">
          <cell r="B294">
            <v>13531</v>
          </cell>
          <cell r="C294" t="str">
            <v>0.75 Inch Dia x 10ft UPVC Push Pipe-White</v>
          </cell>
          <cell r="D294" t="str">
            <v>2.9-3.3</v>
          </cell>
          <cell r="E294" t="str">
            <v>3 mt</v>
          </cell>
          <cell r="F294">
            <v>1.1000000000000001</v>
          </cell>
          <cell r="G294" t="str">
            <v>White</v>
          </cell>
        </row>
        <row r="295">
          <cell r="B295">
            <v>13532</v>
          </cell>
          <cell r="C295" t="str">
            <v>1 Inch Dia x 10ft UPVC Push Pipe-White</v>
          </cell>
          <cell r="D295" t="str">
            <v>3.4-3.8</v>
          </cell>
          <cell r="E295" t="str">
            <v>3 mt</v>
          </cell>
          <cell r="F295">
            <v>1.7</v>
          </cell>
          <cell r="G295" t="str">
            <v>White</v>
          </cell>
        </row>
        <row r="296">
          <cell r="B296">
            <v>13533</v>
          </cell>
          <cell r="C296" t="str">
            <v>1.25 Inch Dia x 10ft UPVC Push Pipe-White</v>
          </cell>
          <cell r="D296" t="str">
            <v>3.6-4.0</v>
          </cell>
          <cell r="E296" t="str">
            <v>3 mt</v>
          </cell>
          <cell r="F296">
            <v>2.2000000000000002</v>
          </cell>
          <cell r="G296" t="str">
            <v>White</v>
          </cell>
        </row>
        <row r="297">
          <cell r="B297">
            <v>13534</v>
          </cell>
          <cell r="C297" t="str">
            <v>1.5 Inch Dia x 10ft UPVC Push Pipe-White</v>
          </cell>
          <cell r="D297" t="str">
            <v>3.7-4.1</v>
          </cell>
          <cell r="E297" t="str">
            <v>3 mt</v>
          </cell>
          <cell r="F297">
            <v>2.7</v>
          </cell>
          <cell r="G297" t="str">
            <v>White</v>
          </cell>
        </row>
        <row r="298">
          <cell r="B298">
            <v>13535</v>
          </cell>
          <cell r="C298" t="str">
            <v>2 Inch Dia x 10ft UPVC Push Pipe-White</v>
          </cell>
          <cell r="D298" t="str">
            <v>3.9-4.3</v>
          </cell>
          <cell r="E298" t="str">
            <v>3 mt</v>
          </cell>
          <cell r="F298">
            <v>3.55</v>
          </cell>
          <cell r="G298" t="str">
            <v>White</v>
          </cell>
        </row>
        <row r="299">
          <cell r="B299">
            <v>0</v>
          </cell>
          <cell r="C299" t="str">
            <v>Export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</row>
        <row r="300">
          <cell r="B300">
            <v>12984</v>
          </cell>
          <cell r="C300" t="str">
            <v>0.5 Inc HDPE Coil Pipe-White</v>
          </cell>
          <cell r="D300" t="str">
            <v>2.0-2.2</v>
          </cell>
          <cell r="E300">
            <v>500</v>
          </cell>
          <cell r="F300">
            <v>18</v>
          </cell>
          <cell r="G300" t="str">
            <v>White</v>
          </cell>
        </row>
        <row r="301">
          <cell r="B301">
            <v>13061</v>
          </cell>
          <cell r="C301" t="str">
            <v>0.75 Inc HDPE Coil Pipe-White</v>
          </cell>
          <cell r="D301" t="str">
            <v>2.2-2.4</v>
          </cell>
          <cell r="E301">
            <v>0</v>
          </cell>
          <cell r="F301">
            <v>16.728000000000002</v>
          </cell>
          <cell r="G301" t="str">
            <v>White</v>
          </cell>
        </row>
        <row r="302">
          <cell r="B302">
            <v>12648</v>
          </cell>
          <cell r="C302" t="str">
            <v>0.5 Inch Dia Push Stick Pipe</v>
          </cell>
          <cell r="D302" t="str">
            <v>1.8-2.1</v>
          </cell>
          <cell r="E302">
            <v>10</v>
          </cell>
          <cell r="F302">
            <v>0.69</v>
          </cell>
          <cell r="G302" t="str">
            <v>White</v>
          </cell>
        </row>
        <row r="303">
          <cell r="B303">
            <v>13235</v>
          </cell>
          <cell r="C303" t="str">
            <v>0.5 Inch Dia Upvc Pipe (1.8-2.1 ) - White</v>
          </cell>
          <cell r="D303" t="str">
            <v>1.8-2.1</v>
          </cell>
          <cell r="E303">
            <v>10</v>
          </cell>
          <cell r="F303">
            <v>0.69</v>
          </cell>
          <cell r="G303" t="str">
            <v>Green</v>
          </cell>
        </row>
        <row r="304">
          <cell r="B304">
            <v>12649</v>
          </cell>
          <cell r="C304" t="str">
            <v>0.75 Inch Dia Push Stick Pipe</v>
          </cell>
          <cell r="D304" t="str">
            <v>3.4-4.0</v>
          </cell>
          <cell r="E304">
            <v>10</v>
          </cell>
          <cell r="F304">
            <v>0.9</v>
          </cell>
          <cell r="G304">
            <v>0</v>
          </cell>
        </row>
        <row r="305">
          <cell r="B305">
            <v>12985</v>
          </cell>
          <cell r="C305" t="str">
            <v>1 Inc HDPE Coil Pipe-White</v>
          </cell>
          <cell r="D305" t="str">
            <v>2.2-2.4</v>
          </cell>
          <cell r="E305">
            <v>500</v>
          </cell>
          <cell r="F305">
            <v>33</v>
          </cell>
          <cell r="G305" t="str">
            <v>Green</v>
          </cell>
        </row>
        <row r="306">
          <cell r="B306">
            <v>12595</v>
          </cell>
          <cell r="C306" t="str">
            <v>1 Inch Dia Push Stick Pipe</v>
          </cell>
          <cell r="D306" t="str">
            <v>3.5-4.1</v>
          </cell>
          <cell r="E306">
            <v>9</v>
          </cell>
          <cell r="F306">
            <v>1.4</v>
          </cell>
          <cell r="G306" t="str">
            <v>Green</v>
          </cell>
        </row>
        <row r="307">
          <cell r="B307">
            <v>13234</v>
          </cell>
          <cell r="C307" t="str">
            <v>1 Inch Dia Upvc Pipe (1.9-2.22 ) - White</v>
          </cell>
          <cell r="D307" t="str">
            <v>3.5-4.1</v>
          </cell>
          <cell r="E307">
            <v>10</v>
          </cell>
          <cell r="F307">
            <v>1.2</v>
          </cell>
          <cell r="G307" t="str">
            <v>White</v>
          </cell>
        </row>
        <row r="308">
          <cell r="B308">
            <v>12844</v>
          </cell>
          <cell r="C308" t="str">
            <v>1.25 Inch Dia UPVC Thread Pipe (Export Thick 4.20-4.40)</v>
          </cell>
          <cell r="D308" t="str">
            <v>2.5-2.6</v>
          </cell>
          <cell r="E308">
            <v>10</v>
          </cell>
          <cell r="F308">
            <v>0</v>
          </cell>
          <cell r="G308" t="str">
            <v>Green</v>
          </cell>
        </row>
        <row r="309">
          <cell r="B309">
            <v>12986</v>
          </cell>
          <cell r="C309" t="str">
            <v>1.5 Inc HDPE Coil Pipe-White</v>
          </cell>
          <cell r="D309" t="str">
            <v>2.5-2.6</v>
          </cell>
          <cell r="E309">
            <v>300</v>
          </cell>
          <cell r="F309">
            <v>35.4</v>
          </cell>
          <cell r="G309" t="str">
            <v>Green</v>
          </cell>
        </row>
        <row r="310">
          <cell r="B310">
            <v>13005</v>
          </cell>
          <cell r="C310" t="str">
            <v>1.5 Inch Dia Upvc Pipe Class – Economy(20 Rft Length)</v>
          </cell>
          <cell r="D310" t="str">
            <v>2.5-2.7</v>
          </cell>
          <cell r="E310">
            <v>20</v>
          </cell>
          <cell r="F310">
            <v>0</v>
          </cell>
          <cell r="G310" t="str">
            <v>Green</v>
          </cell>
        </row>
        <row r="311">
          <cell r="B311">
            <v>12865</v>
          </cell>
          <cell r="C311" t="str">
            <v>1.5 Inch Dia Push Stick Pipe</v>
          </cell>
          <cell r="D311" t="str">
            <v>2.5-2.7</v>
          </cell>
          <cell r="E311">
            <v>10</v>
          </cell>
          <cell r="F311">
            <v>1.8</v>
          </cell>
          <cell r="G311" t="str">
            <v>White</v>
          </cell>
        </row>
        <row r="312">
          <cell r="B312">
            <v>12906</v>
          </cell>
          <cell r="C312" t="str">
            <v>1.5 Inch Dia Threaded Filter (RIB) Pipe (Thread) MF+FF</v>
          </cell>
          <cell r="D312" t="str">
            <v>2.5-2.7</v>
          </cell>
          <cell r="E312">
            <v>10</v>
          </cell>
          <cell r="F312">
            <v>1.85</v>
          </cell>
          <cell r="G312" t="str">
            <v>White</v>
          </cell>
        </row>
        <row r="313">
          <cell r="B313">
            <v>13195</v>
          </cell>
          <cell r="C313" t="str">
            <v>1.5 Inch Dia Threaded Filter (RIB) Pipe (Thread) MF+FF-Length-9</v>
          </cell>
          <cell r="D313" t="str">
            <v>2.5-2.7</v>
          </cell>
          <cell r="E313">
            <v>9</v>
          </cell>
          <cell r="F313">
            <v>1.85</v>
          </cell>
          <cell r="G313" t="str">
            <v>White</v>
          </cell>
        </row>
        <row r="314">
          <cell r="B314">
            <v>13062</v>
          </cell>
          <cell r="C314" t="str">
            <v>1.5 Inch Dia UPVC Pipe Class-Economy- Blue</v>
          </cell>
          <cell r="D314" t="str">
            <v>1.8-1.9</v>
          </cell>
          <cell r="E314">
            <v>20</v>
          </cell>
          <cell r="F314">
            <v>1.6</v>
          </cell>
          <cell r="G314" t="str">
            <v>White</v>
          </cell>
        </row>
        <row r="315">
          <cell r="B315">
            <v>13255</v>
          </cell>
          <cell r="C315" t="str">
            <v>110 mm Dia UPVC Pipe SWR (Grey)</v>
          </cell>
          <cell r="D315" t="str">
            <v>1.8-2.1</v>
          </cell>
          <cell r="E315">
            <v>20</v>
          </cell>
          <cell r="F315">
            <v>0</v>
          </cell>
          <cell r="G315">
            <v>0</v>
          </cell>
        </row>
        <row r="316">
          <cell r="B316">
            <v>12699</v>
          </cell>
          <cell r="C316" t="str">
            <v>110 mm Plain Socket Pipe (3.00)</v>
          </cell>
          <cell r="D316" t="str">
            <v>2.6-2.8</v>
          </cell>
          <cell r="E316">
            <v>20</v>
          </cell>
          <cell r="F316">
            <v>11.3</v>
          </cell>
          <cell r="G316" t="str">
            <v>Green</v>
          </cell>
        </row>
        <row r="317">
          <cell r="B317">
            <v>13259</v>
          </cell>
          <cell r="C317" t="str">
            <v>110mm Dia Upvc PN-16 Pipe Thickness 6.6-7.6 (White)</v>
          </cell>
          <cell r="D317" t="str">
            <v>3.4-4.0</v>
          </cell>
          <cell r="E317">
            <v>20</v>
          </cell>
          <cell r="F317">
            <v>0</v>
          </cell>
          <cell r="G317" t="str">
            <v>Green</v>
          </cell>
        </row>
        <row r="318">
          <cell r="B318">
            <v>12720</v>
          </cell>
          <cell r="C318" t="str">
            <v>110mm Plain Socket Pipe (Gray-2.7)</v>
          </cell>
          <cell r="D318" t="str">
            <v>2.9-3.3</v>
          </cell>
          <cell r="E318">
            <v>10</v>
          </cell>
          <cell r="F318">
            <v>10.199999999999999</v>
          </cell>
          <cell r="G318" t="str">
            <v>Green</v>
          </cell>
        </row>
        <row r="319">
          <cell r="B319">
            <v>13229</v>
          </cell>
          <cell r="C319" t="str">
            <v>110mm Plain Socket Pipe (White- 1.2-1.4)</v>
          </cell>
          <cell r="D319" t="str">
            <v>2.9-3.3</v>
          </cell>
          <cell r="E319">
            <v>20</v>
          </cell>
          <cell r="F319">
            <v>5.45</v>
          </cell>
          <cell r="G319" t="str">
            <v>Green</v>
          </cell>
        </row>
        <row r="320">
          <cell r="B320">
            <v>13230</v>
          </cell>
          <cell r="C320" t="str">
            <v>110mm Plain Socket Pipe (White-1.4-1.6)</v>
          </cell>
          <cell r="D320" t="str">
            <v>2.9-3.3</v>
          </cell>
          <cell r="E320">
            <v>20</v>
          </cell>
          <cell r="F320">
            <v>6.2</v>
          </cell>
          <cell r="G320" t="str">
            <v>Green</v>
          </cell>
        </row>
        <row r="321">
          <cell r="B321">
            <v>12719</v>
          </cell>
          <cell r="C321" t="str">
            <v>110mm Plain Socket Pipe (White-1.6)</v>
          </cell>
          <cell r="D321" t="str">
            <v>2.9-3.3</v>
          </cell>
          <cell r="E321">
            <v>20</v>
          </cell>
          <cell r="F321">
            <v>6.6</v>
          </cell>
          <cell r="G321">
            <v>0</v>
          </cell>
        </row>
        <row r="322">
          <cell r="B322">
            <v>13228</v>
          </cell>
          <cell r="C322" t="str">
            <v>110mm Plain Socket Pipe (White-2.1-2.3)</v>
          </cell>
          <cell r="D322" t="str">
            <v>2.9-3.3</v>
          </cell>
          <cell r="E322">
            <v>20</v>
          </cell>
          <cell r="F322">
            <v>8.9</v>
          </cell>
          <cell r="G322" t="str">
            <v>Green</v>
          </cell>
        </row>
        <row r="323">
          <cell r="B323">
            <v>13260</v>
          </cell>
          <cell r="C323" t="str">
            <v>2 Inch Dia Thread Filter Special MF (RIB)</v>
          </cell>
          <cell r="D323" t="str">
            <v>2.5*-3.0</v>
          </cell>
          <cell r="E323">
            <v>10</v>
          </cell>
          <cell r="F323">
            <v>0</v>
          </cell>
          <cell r="G323" t="str">
            <v>Blue</v>
          </cell>
        </row>
        <row r="324">
          <cell r="B324">
            <v>11731</v>
          </cell>
          <cell r="C324" t="str">
            <v>2 Inch Dia Threated Filter Speacial 3.0mm</v>
          </cell>
          <cell r="D324" t="str">
            <v>2.5*-3.0</v>
          </cell>
          <cell r="E324">
            <v>10</v>
          </cell>
          <cell r="F324">
            <v>2.75</v>
          </cell>
          <cell r="G324" t="str">
            <v>Blue</v>
          </cell>
        </row>
        <row r="325">
          <cell r="B325">
            <v>13059</v>
          </cell>
          <cell r="C325" t="str">
            <v>200 mm Dia Export</v>
          </cell>
          <cell r="D325" t="str">
            <v>2.6-2.8</v>
          </cell>
          <cell r="E325">
            <v>20</v>
          </cell>
          <cell r="F325">
            <v>16</v>
          </cell>
          <cell r="G325" t="str">
            <v>Blue</v>
          </cell>
        </row>
        <row r="326">
          <cell r="B326">
            <v>12899</v>
          </cell>
          <cell r="C326" t="str">
            <v>3 Inch Thread Filter (RIB) Pipe (Thread) MF+FF</v>
          </cell>
          <cell r="D326" t="str">
            <v>4.5-5.2</v>
          </cell>
          <cell r="E326">
            <v>10</v>
          </cell>
          <cell r="F326">
            <v>5.85</v>
          </cell>
          <cell r="G326" t="str">
            <v>Blue</v>
          </cell>
        </row>
        <row r="327">
          <cell r="B327">
            <v>13058</v>
          </cell>
          <cell r="C327" t="str">
            <v>315mm Dia Upvc Pipe (4.0 Thick)</v>
          </cell>
          <cell r="D327" t="str">
            <v>4.5-5.2</v>
          </cell>
          <cell r="E327">
            <v>20</v>
          </cell>
          <cell r="F327">
            <v>43</v>
          </cell>
          <cell r="G327" t="str">
            <v>Blue</v>
          </cell>
        </row>
        <row r="328">
          <cell r="B328">
            <v>12226</v>
          </cell>
          <cell r="C328" t="str">
            <v>315mm Dia Upvc Pipe (4.9 Thickness)</v>
          </cell>
          <cell r="D328" t="str">
            <v>4.5-5.2</v>
          </cell>
          <cell r="E328">
            <v>6</v>
          </cell>
          <cell r="G328" t="str">
            <v>Grey</v>
          </cell>
        </row>
        <row r="329">
          <cell r="B329">
            <v>13236</v>
          </cell>
          <cell r="C329" t="str">
            <v>4 Inch Dia Upvc Thread Pipe (3.4-4.0) -Blue</v>
          </cell>
          <cell r="D329" t="str">
            <v>3.2-3.4</v>
          </cell>
          <cell r="E329">
            <v>10</v>
          </cell>
          <cell r="F329">
            <v>55.5</v>
          </cell>
          <cell r="G329" t="str">
            <v>Blue</v>
          </cell>
        </row>
        <row r="330">
          <cell r="B330">
            <v>12683</v>
          </cell>
          <cell r="C330" t="str">
            <v>63 mm (2 inch) Plain Socket Pipe</v>
          </cell>
          <cell r="D330" t="str">
            <v>2.2-2.5</v>
          </cell>
          <cell r="E330">
            <v>20</v>
          </cell>
          <cell r="F330">
            <v>5</v>
          </cell>
          <cell r="G330" t="str">
            <v>white</v>
          </cell>
        </row>
        <row r="331">
          <cell r="B331">
            <v>12768</v>
          </cell>
          <cell r="C331" t="str">
            <v>60 mm (2 inch) Plain Socket Pipe</v>
          </cell>
          <cell r="D331" t="str">
            <v>2.2-2.5</v>
          </cell>
          <cell r="E331">
            <v>20</v>
          </cell>
          <cell r="F331">
            <v>5.05</v>
          </cell>
          <cell r="G331" t="str">
            <v>White</v>
          </cell>
        </row>
        <row r="332">
          <cell r="B332">
            <v>13233</v>
          </cell>
          <cell r="C332" t="str">
            <v>63 mm Dai Upvc Pipe (1.2-1.4 mm)- White</v>
          </cell>
          <cell r="D332" t="str">
            <v>10.3-11.9</v>
          </cell>
          <cell r="E332">
            <v>20</v>
          </cell>
          <cell r="F332">
            <v>2.88</v>
          </cell>
          <cell r="G332">
            <v>0</v>
          </cell>
        </row>
        <row r="333">
          <cell r="B333">
            <v>12700</v>
          </cell>
          <cell r="C333" t="str">
            <v>63 mm Plain Socket Pipe (1.6)</v>
          </cell>
          <cell r="D333" t="str">
            <v>10.3-11.9</v>
          </cell>
          <cell r="E333">
            <v>20</v>
          </cell>
          <cell r="F333">
            <v>3.8</v>
          </cell>
          <cell r="G333">
            <v>0</v>
          </cell>
        </row>
        <row r="334">
          <cell r="B334">
            <v>12829</v>
          </cell>
          <cell r="C334" t="str">
            <v>63 mm Plain Socket Pipe (1.6)-White</v>
          </cell>
          <cell r="D334" t="str">
            <v>10.3-11.9</v>
          </cell>
          <cell r="E334">
            <v>20</v>
          </cell>
          <cell r="F334">
            <v>3.8</v>
          </cell>
          <cell r="G334" t="str">
            <v>Blue</v>
          </cell>
        </row>
        <row r="335">
          <cell r="B335">
            <v>13257</v>
          </cell>
          <cell r="C335" t="str">
            <v>75 mm Dia UPVC Pipe SWR (Grey)</v>
          </cell>
          <cell r="D335" t="str">
            <v>10.3-11.9</v>
          </cell>
          <cell r="E335">
            <v>20</v>
          </cell>
          <cell r="F335">
            <v>0</v>
          </cell>
          <cell r="G335" t="str">
            <v>Grey</v>
          </cell>
        </row>
        <row r="336">
          <cell r="B336">
            <v>13232</v>
          </cell>
          <cell r="C336" t="str">
            <v>75 mm Dai Upvc Pipe (1.2-1.4 mm)- White</v>
          </cell>
          <cell r="D336" t="str">
            <v>10.3-11.9</v>
          </cell>
          <cell r="E336">
            <v>20</v>
          </cell>
          <cell r="F336">
            <v>3.43</v>
          </cell>
          <cell r="G336" t="str">
            <v>Blue</v>
          </cell>
        </row>
        <row r="337">
          <cell r="B337">
            <v>12195</v>
          </cell>
          <cell r="C337" t="str">
            <v>75mm Upvc Pipe ISO 1.6mm</v>
          </cell>
          <cell r="D337" t="str">
            <v>10.3-11.9</v>
          </cell>
          <cell r="E337">
            <v>20</v>
          </cell>
          <cell r="F337">
            <v>4.33</v>
          </cell>
          <cell r="G337" t="str">
            <v>White</v>
          </cell>
        </row>
        <row r="338">
          <cell r="B338">
            <v>12830</v>
          </cell>
          <cell r="C338" t="str">
            <v>75mm Upvc Pipe ISO 1.6mm- White</v>
          </cell>
          <cell r="D338" t="str">
            <v>10.3-11.9</v>
          </cell>
          <cell r="E338">
            <v>20</v>
          </cell>
          <cell r="F338">
            <v>4.33</v>
          </cell>
          <cell r="G338" t="str">
            <v>White</v>
          </cell>
        </row>
        <row r="339">
          <cell r="B339">
            <v>13231</v>
          </cell>
          <cell r="C339" t="str">
            <v>90 mm Dai Upvc Pipe (1.3-1.5mm)- White</v>
          </cell>
          <cell r="D339" t="str">
            <v>4.3-4.5</v>
          </cell>
          <cell r="E339">
            <v>20</v>
          </cell>
          <cell r="F339">
            <v>4.5</v>
          </cell>
          <cell r="G339" t="str">
            <v>White</v>
          </cell>
        </row>
        <row r="340">
          <cell r="B340">
            <v>12139</v>
          </cell>
          <cell r="C340" t="str">
            <v>90 mm Dai Upvc Pipe (1.6mm)</v>
          </cell>
          <cell r="D340" t="str">
            <v>4.3-4.5</v>
          </cell>
          <cell r="E340">
            <v>20</v>
          </cell>
          <cell r="F340">
            <v>5.25</v>
          </cell>
          <cell r="G340" t="str">
            <v>White</v>
          </cell>
        </row>
        <row r="341">
          <cell r="B341">
            <v>12831</v>
          </cell>
          <cell r="C341" t="str">
            <v>90 mm Dai Upvc Pipe (1.6mm)- White</v>
          </cell>
          <cell r="D341" t="str">
            <v>4.3-4.5</v>
          </cell>
          <cell r="E341">
            <v>20</v>
          </cell>
          <cell r="F341">
            <v>5.25</v>
          </cell>
          <cell r="G341" t="str">
            <v>White</v>
          </cell>
        </row>
        <row r="342">
          <cell r="B342">
            <v>13256</v>
          </cell>
          <cell r="C342" t="str">
            <v>90 mm Dia UPVC Pipe SWR (Grey)</v>
          </cell>
          <cell r="D342" t="str">
            <v>4.3-4.5</v>
          </cell>
          <cell r="E342">
            <v>20</v>
          </cell>
          <cell r="F342">
            <v>0</v>
          </cell>
          <cell r="G342" t="str">
            <v>Grey</v>
          </cell>
        </row>
        <row r="343">
          <cell r="B343">
            <v>13194</v>
          </cell>
          <cell r="C343" t="str">
            <v>90mm Plain Socket Pipe Gray-1.6</v>
          </cell>
          <cell r="D343" t="str">
            <v>4.3-4.5</v>
          </cell>
          <cell r="E343">
            <v>20</v>
          </cell>
          <cell r="F343">
            <v>5.25</v>
          </cell>
          <cell r="G343" t="str">
            <v>White</v>
          </cell>
        </row>
        <row r="344">
          <cell r="B344">
            <v>12898</v>
          </cell>
          <cell r="C344" t="str">
            <v>90mm Plain Socket Pipe Gray-2.8</v>
          </cell>
          <cell r="D344" t="str">
            <v>4.3-4.5</v>
          </cell>
          <cell r="E344">
            <v>20</v>
          </cell>
          <cell r="F344">
            <v>8.8000000000000007</v>
          </cell>
          <cell r="G344" t="str">
            <v>White</v>
          </cell>
        </row>
        <row r="345">
          <cell r="B345">
            <v>13198</v>
          </cell>
          <cell r="C345" t="str">
            <v>200 MM Dia UPVC Pipe SWR-1 (Mtr)</v>
          </cell>
          <cell r="D345" t="str">
            <v>4.8-5.2</v>
          </cell>
          <cell r="E345">
            <v>6</v>
          </cell>
          <cell r="F345">
            <v>0</v>
          </cell>
          <cell r="G345" t="str">
            <v>Grey</v>
          </cell>
        </row>
        <row r="346">
          <cell r="B346">
            <v>12139</v>
          </cell>
          <cell r="C346" t="str">
            <v>90 mm Dai Upvc Pipe (1.6mm)</v>
          </cell>
          <cell r="D346">
            <v>0</v>
          </cell>
          <cell r="E346">
            <v>20</v>
          </cell>
          <cell r="F346">
            <v>5.25</v>
          </cell>
          <cell r="G346" t="str">
            <v>Grey</v>
          </cell>
        </row>
        <row r="347">
          <cell r="B347" t="e">
            <v>#N/A</v>
          </cell>
          <cell r="C347" t="str">
            <v>90mm Dia UPVC Pipe (Thickness 3.5 mm)</v>
          </cell>
          <cell r="D347">
            <v>0</v>
          </cell>
          <cell r="E347">
            <v>20</v>
          </cell>
          <cell r="F347">
            <v>10.390625</v>
          </cell>
          <cell r="G347" t="str">
            <v>White</v>
          </cell>
        </row>
        <row r="348">
          <cell r="B348">
            <v>12923</v>
          </cell>
          <cell r="C348" t="str">
            <v>90mm Plain Socket Pipe White-2.8​</v>
          </cell>
          <cell r="D348">
            <v>0</v>
          </cell>
          <cell r="E348">
            <v>20</v>
          </cell>
          <cell r="F348">
            <v>8.8000000000000007</v>
          </cell>
          <cell r="G348" t="str">
            <v>White</v>
          </cell>
        </row>
        <row r="349">
          <cell r="B349">
            <v>12231</v>
          </cell>
          <cell r="C349" t="str">
            <v>90mm Plain Socket Pipe (White-1.3-1.5)</v>
          </cell>
          <cell r="D349">
            <v>0</v>
          </cell>
          <cell r="E349">
            <v>20</v>
          </cell>
          <cell r="F349">
            <v>6.45</v>
          </cell>
          <cell r="G349" t="str">
            <v>White</v>
          </cell>
        </row>
        <row r="350">
          <cell r="B350">
            <v>12831</v>
          </cell>
          <cell r="C350" t="str">
            <v>90 mm Dai Upvc Pipe (1.6mm)- White</v>
          </cell>
          <cell r="D350">
            <v>0</v>
          </cell>
          <cell r="E350">
            <v>20</v>
          </cell>
          <cell r="F350">
            <v>5.25</v>
          </cell>
          <cell r="G350" t="str">
            <v>White</v>
          </cell>
        </row>
        <row r="351">
          <cell r="B351">
            <v>12898</v>
          </cell>
          <cell r="C351" t="str">
            <v>90mm Plain Socket Pipe Gray-2.8</v>
          </cell>
          <cell r="D351">
            <v>0</v>
          </cell>
          <cell r="E351">
            <v>20</v>
          </cell>
          <cell r="F351">
            <v>8.8000000000000007</v>
          </cell>
          <cell r="G351" t="str">
            <v>Grey</v>
          </cell>
        </row>
        <row r="352">
          <cell r="B352">
            <v>12720</v>
          </cell>
          <cell r="C352" t="str">
            <v>110mm Plain Socket Pipe (Gray-2.7)</v>
          </cell>
          <cell r="D352">
            <v>0</v>
          </cell>
          <cell r="E352">
            <v>20</v>
          </cell>
          <cell r="F352">
            <v>10.6</v>
          </cell>
          <cell r="G352" t="str">
            <v>Grey</v>
          </cell>
        </row>
        <row r="353">
          <cell r="B353">
            <v>13229</v>
          </cell>
          <cell r="C353" t="str">
            <v>110mm Plain Socket Pipe (White-1.2-1.4)</v>
          </cell>
          <cell r="D353">
            <v>0</v>
          </cell>
          <cell r="E353">
            <v>20</v>
          </cell>
          <cell r="F353">
            <v>6.45</v>
          </cell>
          <cell r="G353" t="str">
            <v>White</v>
          </cell>
        </row>
        <row r="354">
          <cell r="B354">
            <v>13255</v>
          </cell>
          <cell r="C354" t="str">
            <v>110mm Plain Socket Pipe (Grey-1.2-1.4)</v>
          </cell>
          <cell r="D354">
            <v>0</v>
          </cell>
          <cell r="E354">
            <v>0</v>
          </cell>
          <cell r="F354">
            <v>0</v>
          </cell>
          <cell r="G354" t="str">
            <v>Grey</v>
          </cell>
        </row>
        <row r="355">
          <cell r="B355">
            <v>13230</v>
          </cell>
          <cell r="C355" t="str">
            <v>110mm Plain Socket Pipe (White-1.4-1.6)</v>
          </cell>
          <cell r="D355">
            <v>0</v>
          </cell>
          <cell r="E355">
            <v>20</v>
          </cell>
          <cell r="F355">
            <v>6.45</v>
          </cell>
          <cell r="G355" t="str">
            <v>White</v>
          </cell>
        </row>
        <row r="356">
          <cell r="B356">
            <v>13228</v>
          </cell>
          <cell r="C356" t="str">
            <v>110mm Plain Socket Pipe (White-2.1-2.3)</v>
          </cell>
          <cell r="D356">
            <v>0</v>
          </cell>
          <cell r="E356">
            <v>20</v>
          </cell>
          <cell r="F356">
            <v>6.45</v>
          </cell>
          <cell r="G356" t="str">
            <v>White</v>
          </cell>
        </row>
        <row r="357">
          <cell r="B357">
            <v>12832</v>
          </cell>
          <cell r="C357" t="str">
            <v>110mm Plain Socket Pipe (1.6mm)-Gray</v>
          </cell>
          <cell r="D357">
            <v>0</v>
          </cell>
          <cell r="E357">
            <v>20</v>
          </cell>
          <cell r="F357">
            <v>6.4</v>
          </cell>
          <cell r="G357" t="str">
            <v>Grey</v>
          </cell>
        </row>
        <row r="358">
          <cell r="B358" t="e">
            <v>#N/A</v>
          </cell>
          <cell r="C358" t="str">
            <v>110mm Plain Socket Pipe (1.8mm)-Gray</v>
          </cell>
          <cell r="D358">
            <v>0</v>
          </cell>
          <cell r="E358">
            <v>20</v>
          </cell>
          <cell r="F358">
            <v>7.2</v>
          </cell>
          <cell r="G358" t="str">
            <v>Grey</v>
          </cell>
        </row>
        <row r="359">
          <cell r="B359" t="e">
            <v>#N/A</v>
          </cell>
          <cell r="C359" t="str">
            <v>250mm SWR-1 (2.9-3.3) Export</v>
          </cell>
          <cell r="D359">
            <v>0</v>
          </cell>
          <cell r="E359">
            <v>0</v>
          </cell>
          <cell r="F359">
            <v>27</v>
          </cell>
          <cell r="G359" t="str">
            <v>Grey</v>
          </cell>
        </row>
        <row r="360">
          <cell r="B360" t="e">
            <v>#N/A</v>
          </cell>
          <cell r="C360" t="str">
            <v>160 mm(2.0-2.22) Export</v>
          </cell>
          <cell r="D360">
            <v>0</v>
          </cell>
          <cell r="E360">
            <v>0</v>
          </cell>
          <cell r="F360">
            <v>12.5</v>
          </cell>
          <cell r="G360">
            <v>0</v>
          </cell>
        </row>
        <row r="361">
          <cell r="B361" t="e">
            <v>#N/A</v>
          </cell>
          <cell r="C361" t="str">
            <v>5" Spl Export(1.9-2.3)</v>
          </cell>
          <cell r="D361">
            <v>0</v>
          </cell>
          <cell r="E361">
            <v>0</v>
          </cell>
          <cell r="F361">
            <v>10.5</v>
          </cell>
          <cell r="G361">
            <v>0</v>
          </cell>
        </row>
        <row r="362">
          <cell r="B362">
            <v>13699</v>
          </cell>
          <cell r="C362" t="str">
            <v>110 mm Plain Socket Pipe (3.00)</v>
          </cell>
          <cell r="D362">
            <v>0</v>
          </cell>
          <cell r="E362">
            <v>10</v>
          </cell>
          <cell r="F362">
            <v>11.3</v>
          </cell>
          <cell r="G362" t="str">
            <v>Grey</v>
          </cell>
        </row>
        <row r="363">
          <cell r="B363" t="e">
            <v>#N/A</v>
          </cell>
          <cell r="C363" t="str">
            <v>160mm Plain Socket Pipe (White-3.2)</v>
          </cell>
          <cell r="D363">
            <v>0</v>
          </cell>
          <cell r="E363">
            <v>20</v>
          </cell>
          <cell r="F363">
            <v>18</v>
          </cell>
          <cell r="G363" t="str">
            <v>White</v>
          </cell>
        </row>
        <row r="364">
          <cell r="B364" t="e">
            <v>#N/A</v>
          </cell>
          <cell r="C364" t="str">
            <v>160mm Plain Socket Pipe (Gray-3.2)</v>
          </cell>
          <cell r="D364">
            <v>0</v>
          </cell>
          <cell r="E364">
            <v>20</v>
          </cell>
          <cell r="F364">
            <v>18</v>
          </cell>
          <cell r="G364" t="str">
            <v>Grey</v>
          </cell>
        </row>
        <row r="365">
          <cell r="B365" t="e">
            <v>#N/A</v>
          </cell>
          <cell r="C365" t="str">
            <v>250mm Socket Pipe (Gray 3.9)</v>
          </cell>
          <cell r="D365">
            <v>0</v>
          </cell>
          <cell r="E365">
            <v>20</v>
          </cell>
          <cell r="F365">
            <v>33</v>
          </cell>
          <cell r="G365" t="str">
            <v>Grey</v>
          </cell>
        </row>
        <row r="366">
          <cell r="B366">
            <v>12648</v>
          </cell>
          <cell r="C366" t="str">
            <v>0.5 Inch Dia Push Stick Pipe</v>
          </cell>
          <cell r="D366">
            <v>0</v>
          </cell>
          <cell r="E366">
            <v>10</v>
          </cell>
          <cell r="F366">
            <v>0.9</v>
          </cell>
          <cell r="G366" t="str">
            <v>White</v>
          </cell>
        </row>
        <row r="367">
          <cell r="B367">
            <v>12649</v>
          </cell>
          <cell r="C367" t="str">
            <v>0.75 Inch Dia Push Stick Pipe</v>
          </cell>
          <cell r="D367">
            <v>0</v>
          </cell>
          <cell r="E367">
            <v>10</v>
          </cell>
          <cell r="F367">
            <v>1.2</v>
          </cell>
          <cell r="G367" t="str">
            <v>White</v>
          </cell>
        </row>
        <row r="368">
          <cell r="B368">
            <v>12595</v>
          </cell>
          <cell r="C368" t="str">
            <v>1 Inch Dia Push Stick Pipe</v>
          </cell>
          <cell r="D368">
            <v>0</v>
          </cell>
          <cell r="E368">
            <v>10</v>
          </cell>
          <cell r="F368">
            <v>1.4</v>
          </cell>
          <cell r="G368" t="str">
            <v>White</v>
          </cell>
        </row>
        <row r="369">
          <cell r="B369">
            <v>12865</v>
          </cell>
          <cell r="C369" t="str">
            <v>1.5 Inch Dia Push Stick Pipe</v>
          </cell>
          <cell r="D369">
            <v>0</v>
          </cell>
          <cell r="E369">
            <v>20</v>
          </cell>
          <cell r="F369">
            <v>1.8</v>
          </cell>
          <cell r="G369" t="str">
            <v>White</v>
          </cell>
        </row>
        <row r="370">
          <cell r="B370">
            <v>0</v>
          </cell>
          <cell r="C370" t="str">
            <v>TENDER PIPE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</row>
        <row r="371">
          <cell r="B371" t="e">
            <v>#N/A</v>
          </cell>
          <cell r="C371" t="str">
            <v>250 mm DIA SWR PN-3.15</v>
          </cell>
          <cell r="D371">
            <v>0</v>
          </cell>
          <cell r="E371">
            <v>6</v>
          </cell>
          <cell r="F371">
            <v>12</v>
          </cell>
          <cell r="G371" t="str">
            <v>Grey</v>
          </cell>
        </row>
        <row r="372">
          <cell r="B372" t="e">
            <v>#N/A</v>
          </cell>
          <cell r="C372" t="str">
            <v>200 mm DIA SWR PN-6</v>
          </cell>
          <cell r="D372">
            <v>0</v>
          </cell>
          <cell r="E372">
            <v>6</v>
          </cell>
          <cell r="F372">
            <v>27.5</v>
          </cell>
          <cell r="G372" t="str">
            <v>White</v>
          </cell>
        </row>
        <row r="373">
          <cell r="B373" t="e">
            <v>#N/A</v>
          </cell>
          <cell r="C373" t="str">
            <v>1 Inch Dia UPVC Pipe Class-E PN-15</v>
          </cell>
          <cell r="D373">
            <v>0</v>
          </cell>
          <cell r="E373">
            <v>6</v>
          </cell>
          <cell r="F373">
            <v>1.18</v>
          </cell>
          <cell r="G373" t="str">
            <v>Grey</v>
          </cell>
        </row>
        <row r="374">
          <cell r="B374">
            <v>13053</v>
          </cell>
          <cell r="C374" t="str">
            <v>160 mm air vent 3.350 mm Green</v>
          </cell>
          <cell r="D374" t="str">
            <v>3.1-3.7</v>
          </cell>
          <cell r="E374">
            <v>6</v>
          </cell>
          <cell r="F374">
            <v>12.2</v>
          </cell>
          <cell r="G374" t="str">
            <v>Green</v>
          </cell>
        </row>
        <row r="375">
          <cell r="B375">
            <v>0</v>
          </cell>
          <cell r="C375" t="str">
            <v>160mm Dia UPVC Pipe   (Thickness-3.1 mm)Bend</v>
          </cell>
          <cell r="D375">
            <v>0</v>
          </cell>
          <cell r="E375">
            <v>6</v>
          </cell>
          <cell r="F375">
            <v>18</v>
          </cell>
          <cell r="G375">
            <v>0</v>
          </cell>
        </row>
        <row r="376">
          <cell r="B376">
            <v>0</v>
          </cell>
          <cell r="C376" t="str">
            <v>200 mm Dia Upvc Special Tee Pipe 16'2" (6.2) Grey</v>
          </cell>
          <cell r="D376">
            <v>0</v>
          </cell>
          <cell r="E376">
            <v>6.2</v>
          </cell>
          <cell r="F376">
            <v>34</v>
          </cell>
          <cell r="G376" t="str">
            <v>Grey</v>
          </cell>
        </row>
        <row r="377">
          <cell r="B377" t="e">
            <v>#N/A</v>
          </cell>
          <cell r="C377" t="str">
            <v>160mm Dia Upvc Pipe (Thick-3.1)</v>
          </cell>
          <cell r="D377">
            <v>0</v>
          </cell>
          <cell r="E377">
            <v>20</v>
          </cell>
          <cell r="F377">
            <v>17</v>
          </cell>
          <cell r="G377" t="str">
            <v>White</v>
          </cell>
        </row>
        <row r="378">
          <cell r="B378">
            <v>0</v>
          </cell>
          <cell r="C378" t="str">
            <v xml:space="preserve">160 mm Dia Upvc Special Tee  (4.9) </v>
          </cell>
          <cell r="D378">
            <v>4.9000000000000004</v>
          </cell>
          <cell r="E378">
            <v>22</v>
          </cell>
          <cell r="F378">
            <v>27</v>
          </cell>
          <cell r="G378" t="str">
            <v>Grey</v>
          </cell>
        </row>
        <row r="379">
          <cell r="B379" t="e">
            <v>#N/A</v>
          </cell>
          <cell r="C379" t="str">
            <v>180mm Dia UPVC Pipe SWR-1</v>
          </cell>
          <cell r="D379">
            <v>0</v>
          </cell>
          <cell r="E379">
            <v>20</v>
          </cell>
          <cell r="F379">
            <v>15.75</v>
          </cell>
          <cell r="G379" t="str">
            <v>White</v>
          </cell>
        </row>
        <row r="380">
          <cell r="B380" t="e">
            <v>#N/A</v>
          </cell>
          <cell r="C380" t="str">
            <v>400 mm Dia UPVC Pipe (Thick 12.5)</v>
          </cell>
          <cell r="D380">
            <v>0</v>
          </cell>
          <cell r="E380">
            <v>6</v>
          </cell>
          <cell r="F380">
            <v>150</v>
          </cell>
          <cell r="G380">
            <v>0</v>
          </cell>
        </row>
        <row r="381">
          <cell r="B381" t="e">
            <v>#N/A</v>
          </cell>
          <cell r="C381" t="str">
            <v>110mm Dia UPVC Pipe (PN-8)</v>
          </cell>
          <cell r="D381">
            <v>0</v>
          </cell>
          <cell r="E381">
            <v>6</v>
          </cell>
          <cell r="F381">
            <v>11.9</v>
          </cell>
          <cell r="G381">
            <v>0</v>
          </cell>
        </row>
        <row r="382">
          <cell r="B382" t="e">
            <v>#N/A</v>
          </cell>
          <cell r="C382" t="str">
            <v>160 mm  Dia  UPVC Pn-8 Filter, 5.6</v>
          </cell>
          <cell r="D382">
            <v>0</v>
          </cell>
          <cell r="E382">
            <v>10</v>
          </cell>
          <cell r="F382">
            <v>12.4</v>
          </cell>
          <cell r="G382">
            <v>0</v>
          </cell>
        </row>
        <row r="383">
          <cell r="B383" t="e">
            <v>#N/A</v>
          </cell>
          <cell r="C383" t="str">
            <v>160mm Dia UPVC Pipe (PN-8)</v>
          </cell>
          <cell r="D383">
            <v>0</v>
          </cell>
          <cell r="E383">
            <v>6</v>
          </cell>
          <cell r="F383">
            <v>24.8</v>
          </cell>
          <cell r="G383">
            <v>0</v>
          </cell>
        </row>
        <row r="384">
          <cell r="B384">
            <v>12517</v>
          </cell>
          <cell r="C384" t="str">
            <v>225mm Dia UPVC Pipe (2.8-3.10)</v>
          </cell>
          <cell r="D384">
            <v>0</v>
          </cell>
          <cell r="E384">
            <v>20</v>
          </cell>
          <cell r="F384">
            <v>22.5</v>
          </cell>
          <cell r="G384">
            <v>0</v>
          </cell>
        </row>
        <row r="385">
          <cell r="B385" t="e">
            <v>#N/A</v>
          </cell>
          <cell r="C385" t="str">
            <v>250mm Dia Upvc Pipe (Thickness 4.1-4.6 mm)</v>
          </cell>
          <cell r="D385">
            <v>0</v>
          </cell>
          <cell r="E385">
            <v>6</v>
          </cell>
          <cell r="F385">
            <v>33</v>
          </cell>
          <cell r="G385">
            <v>0</v>
          </cell>
        </row>
        <row r="386">
          <cell r="B386" t="e">
            <v>#N/A</v>
          </cell>
          <cell r="C386" t="str">
            <v>400mm Dia UPVC Pipe (6.3)</v>
          </cell>
          <cell r="D386">
            <v>0</v>
          </cell>
          <cell r="E386">
            <v>6</v>
          </cell>
          <cell r="F386">
            <v>88</v>
          </cell>
          <cell r="G386">
            <v>0</v>
          </cell>
        </row>
        <row r="387">
          <cell r="B387" t="e">
            <v>#N/A</v>
          </cell>
          <cell r="C387" t="str">
            <v>450mm Dia UPVC Pipe (8.80)</v>
          </cell>
          <cell r="D387">
            <v>0</v>
          </cell>
          <cell r="E387">
            <v>6.5</v>
          </cell>
          <cell r="F387">
            <v>145</v>
          </cell>
          <cell r="G387">
            <v>0</v>
          </cell>
        </row>
        <row r="388">
          <cell r="B388">
            <v>13468</v>
          </cell>
          <cell r="C388" t="str">
            <v>200mm Dia Upvc Pipe SDR-65</v>
          </cell>
          <cell r="D388" t="str">
            <v>3.2-3.6</v>
          </cell>
          <cell r="E388">
            <v>6</v>
          </cell>
          <cell r="F388">
            <v>23</v>
          </cell>
          <cell r="G388" t="str">
            <v>Grey</v>
          </cell>
        </row>
        <row r="389">
          <cell r="B389" t="e">
            <v>#N/A</v>
          </cell>
          <cell r="C389" t="str">
            <v>225mm Dia UPVC Pipe(2.80mm)</v>
          </cell>
          <cell r="D389">
            <v>0</v>
          </cell>
          <cell r="E389">
            <v>6</v>
          </cell>
          <cell r="F389">
            <v>18.850000000000001</v>
          </cell>
          <cell r="G389">
            <v>0</v>
          </cell>
        </row>
        <row r="390">
          <cell r="B390" t="e">
            <v>#N/A</v>
          </cell>
          <cell r="C390" t="str">
            <v>250mm Dia Upvc Pipe (Including Socket-Thicknes 3.1)</v>
          </cell>
          <cell r="D390">
            <v>0</v>
          </cell>
          <cell r="E390">
            <v>6</v>
          </cell>
          <cell r="F390">
            <v>26.5</v>
          </cell>
          <cell r="G390">
            <v>0</v>
          </cell>
        </row>
        <row r="391">
          <cell r="B391" t="e">
            <v>#N/A</v>
          </cell>
          <cell r="C391" t="str">
            <v>250mm Dia UPVC Pipe Thickness 3.1</v>
          </cell>
          <cell r="D391">
            <v>0</v>
          </cell>
          <cell r="E391">
            <v>6</v>
          </cell>
          <cell r="F391">
            <v>26.5</v>
          </cell>
          <cell r="G391">
            <v>0</v>
          </cell>
        </row>
        <row r="392">
          <cell r="B392">
            <v>12225</v>
          </cell>
          <cell r="C392" t="str">
            <v>250mm Dia Upvc Pipe (Thickness 3.9)</v>
          </cell>
          <cell r="D392" t="str">
            <v>3.8-4.2</v>
          </cell>
          <cell r="E392">
            <v>6</v>
          </cell>
          <cell r="F392">
            <v>35</v>
          </cell>
          <cell r="G392" t="str">
            <v>Grey</v>
          </cell>
        </row>
        <row r="393">
          <cell r="B393">
            <v>12929</v>
          </cell>
          <cell r="C393" t="str">
            <v>250mm Dia Upvc Air Vent Pipe (Thick-5.10-5.30)</v>
          </cell>
          <cell r="D393" t="str">
            <v>3.0-3.2</v>
          </cell>
          <cell r="E393">
            <v>3</v>
          </cell>
          <cell r="F393">
            <v>26.8</v>
          </cell>
          <cell r="G393" t="str">
            <v>Red</v>
          </cell>
        </row>
        <row r="394">
          <cell r="B394">
            <v>12559</v>
          </cell>
          <cell r="C394" t="str">
            <v>250mm Dia Upvc Air Vent Pipe (Thick-4.9mm)</v>
          </cell>
          <cell r="D394">
            <v>4.9000000000000004</v>
          </cell>
          <cell r="E394">
            <v>0</v>
          </cell>
          <cell r="F394">
            <v>0</v>
          </cell>
          <cell r="G394" t="str">
            <v>Green</v>
          </cell>
        </row>
        <row r="395">
          <cell r="B395">
            <v>12941</v>
          </cell>
          <cell r="C395" t="str">
            <v>160 mm UPVC Pipe (Thickness- 3.1)</v>
          </cell>
          <cell r="D395">
            <v>3.1</v>
          </cell>
          <cell r="E395">
            <v>6</v>
          </cell>
          <cell r="F395">
            <v>17.899999999999999</v>
          </cell>
          <cell r="G395" t="str">
            <v>Grey</v>
          </cell>
        </row>
        <row r="396">
          <cell r="B396">
            <v>11354</v>
          </cell>
          <cell r="C396" t="str">
            <v>315mm Dia Upvc Pipe (Ft) (4.9 Thick)</v>
          </cell>
          <cell r="D396" t="str">
            <v>4.5-5.2</v>
          </cell>
          <cell r="E396">
            <v>19.68</v>
          </cell>
          <cell r="F396">
            <v>54</v>
          </cell>
          <cell r="G396" t="str">
            <v>Grey</v>
          </cell>
        </row>
        <row r="397">
          <cell r="B397">
            <v>13365</v>
          </cell>
          <cell r="C397" t="str">
            <v xml:space="preserve">315 mm Dia Upvc AIR VENT   (3350mm) </v>
          </cell>
          <cell r="D397" t="str">
            <v>5.1-5.3</v>
          </cell>
          <cell r="E397">
            <v>0</v>
          </cell>
          <cell r="F397">
            <v>34.799999999999997</v>
          </cell>
          <cell r="G397" t="str">
            <v>Green</v>
          </cell>
        </row>
        <row r="398">
          <cell r="B398">
            <v>13420</v>
          </cell>
          <cell r="C398" t="str">
            <v>250mm Dia Upvc Air Vent (Thickness 3.9)</v>
          </cell>
          <cell r="D398" t="str">
            <v>3.8-4.2</v>
          </cell>
          <cell r="E398">
            <v>3</v>
          </cell>
          <cell r="F398">
            <v>24.4</v>
          </cell>
          <cell r="G398" t="str">
            <v>Grey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 refreshError="1">
        <row r="1">
          <cell r="A1">
            <v>0</v>
          </cell>
          <cell r="B1" t="str">
            <v>Sales &amp; Production Projection : AOPL(uPVCPipe) Unit-1</v>
          </cell>
          <cell r="C1">
            <v>0</v>
          </cell>
          <cell r="D1">
            <v>0</v>
          </cell>
          <cell r="E1">
            <v>0</v>
          </cell>
          <cell r="F1">
            <v>0</v>
          </cell>
        </row>
        <row r="2">
          <cell r="A2">
            <v>0</v>
          </cell>
          <cell r="B2" t="str">
            <v>June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</row>
        <row r="3">
          <cell r="A3" t="str">
            <v>Item Code</v>
          </cell>
          <cell r="B3" t="str">
            <v>Product Name</v>
          </cell>
          <cell r="C3" t="str">
            <v>Color</v>
          </cell>
          <cell r="D3" t="str">
            <v>Thickness</v>
          </cell>
          <cell r="E3" t="str">
            <v>Length</v>
          </cell>
          <cell r="F3" t="str">
            <v xml:space="preserve">Weight </v>
          </cell>
          <cell r="G3" t="str">
            <v>Recipe Name</v>
          </cell>
        </row>
        <row r="4">
          <cell r="A4">
            <v>0</v>
          </cell>
          <cell r="B4" t="str">
            <v>BS PIPE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</row>
        <row r="5">
          <cell r="A5">
            <v>11101</v>
          </cell>
          <cell r="B5" t="str">
            <v>0.5 Inch Dia UPVC Pipe Class-E</v>
          </cell>
          <cell r="C5" t="str">
            <v>Grey</v>
          </cell>
          <cell r="D5" t="str">
            <v>1.7-2.1</v>
          </cell>
          <cell r="E5">
            <v>10</v>
          </cell>
          <cell r="F5">
            <v>0.61</v>
          </cell>
          <cell r="G5" t="str">
            <v>STD-Grey</v>
          </cell>
        </row>
        <row r="6">
          <cell r="A6">
            <v>11102</v>
          </cell>
          <cell r="B6" t="str">
            <v>0.5 Inch Dia Upvc Pipe Class-D</v>
          </cell>
          <cell r="C6" t="str">
            <v>Grey</v>
          </cell>
          <cell r="D6" t="str">
            <v>1.3-1.4</v>
          </cell>
          <cell r="E6">
            <v>10</v>
          </cell>
          <cell r="F6">
            <v>0.48</v>
          </cell>
          <cell r="G6" t="str">
            <v>STD-Grey</v>
          </cell>
        </row>
        <row r="7">
          <cell r="A7">
            <v>11104</v>
          </cell>
          <cell r="B7" t="str">
            <v>0.75 Inch Dia UPVC Pipe Class-E</v>
          </cell>
          <cell r="C7" t="str">
            <v>Grey</v>
          </cell>
          <cell r="D7" t="str">
            <v>1.9-2.5</v>
          </cell>
          <cell r="E7">
            <v>10</v>
          </cell>
          <cell r="F7">
            <v>0.85</v>
          </cell>
          <cell r="G7" t="str">
            <v>STD-Grey</v>
          </cell>
        </row>
        <row r="8">
          <cell r="A8">
            <v>11103</v>
          </cell>
          <cell r="B8" t="str">
            <v>0.75 Inch Dia Upvc Pipe Class-D</v>
          </cell>
          <cell r="C8" t="str">
            <v>Grey</v>
          </cell>
          <cell r="D8" t="str">
            <v>1.4-1.5</v>
          </cell>
          <cell r="E8">
            <v>10</v>
          </cell>
          <cell r="F8">
            <v>0.6</v>
          </cell>
          <cell r="G8" t="str">
            <v>STD-Grey</v>
          </cell>
        </row>
        <row r="9">
          <cell r="A9">
            <v>11105</v>
          </cell>
          <cell r="B9" t="str">
            <v>1 Inch Dia Upvc Pipe Class-D</v>
          </cell>
          <cell r="C9" t="str">
            <v>Grey</v>
          </cell>
          <cell r="D9" t="str">
            <v>1.6-1.7</v>
          </cell>
          <cell r="E9">
            <v>10</v>
          </cell>
          <cell r="F9">
            <v>0.85</v>
          </cell>
          <cell r="G9" t="str">
            <v>STD-Grey</v>
          </cell>
        </row>
        <row r="10">
          <cell r="A10">
            <v>11106</v>
          </cell>
          <cell r="B10" t="str">
            <v>1 Inch Dia UPVC Pipe Class-E</v>
          </cell>
          <cell r="C10" t="str">
            <v>Grey</v>
          </cell>
          <cell r="D10" t="str">
            <v>2.2-2.7</v>
          </cell>
          <cell r="E10">
            <v>10</v>
          </cell>
          <cell r="F10">
            <v>1.38</v>
          </cell>
          <cell r="G10" t="str">
            <v>STD-Grey</v>
          </cell>
        </row>
        <row r="11">
          <cell r="A11">
            <v>11123</v>
          </cell>
          <cell r="B11" t="str">
            <v>1.5 Inch Dia Upvc Pipe Class Special - SP (White)</v>
          </cell>
          <cell r="C11" t="str">
            <v>White</v>
          </cell>
          <cell r="D11" t="str">
            <v>1.8-1.9</v>
          </cell>
          <cell r="E11">
            <v>15</v>
          </cell>
          <cell r="F11">
            <v>2.2000000000000002</v>
          </cell>
          <cell r="G11" t="str">
            <v>Economy- White</v>
          </cell>
        </row>
        <row r="12">
          <cell r="A12">
            <v>12086</v>
          </cell>
          <cell r="B12" t="str">
            <v>1.5 Inch Dia Upvc Pipe Class-D (White)</v>
          </cell>
          <cell r="C12" t="str">
            <v>White</v>
          </cell>
          <cell r="D12" t="str">
            <v>2.5-3.0</v>
          </cell>
          <cell r="E12">
            <v>15</v>
          </cell>
          <cell r="F12">
            <v>2.65</v>
          </cell>
          <cell r="G12" t="str">
            <v>SBS-White</v>
          </cell>
        </row>
        <row r="13">
          <cell r="A13">
            <v>11108</v>
          </cell>
          <cell r="B13" t="str">
            <v>1.5 Inch Dia UPVC Pipe Class-Economy</v>
          </cell>
          <cell r="C13" t="str">
            <v>White</v>
          </cell>
          <cell r="D13" t="str">
            <v>1.5-1.7</v>
          </cell>
          <cell r="E13">
            <v>15</v>
          </cell>
          <cell r="F13">
            <v>1.8</v>
          </cell>
          <cell r="G13" t="str">
            <v>Economy- White</v>
          </cell>
        </row>
        <row r="14">
          <cell r="A14">
            <v>13359</v>
          </cell>
          <cell r="B14" t="str">
            <v>1.5 Inch Dia UPVC Pipe Class-Economy (S)</v>
          </cell>
          <cell r="C14" t="str">
            <v>White</v>
          </cell>
          <cell r="D14" t="str">
            <v>1.3-1.5</v>
          </cell>
          <cell r="E14">
            <v>15</v>
          </cell>
          <cell r="F14">
            <v>1.72</v>
          </cell>
          <cell r="G14" t="str">
            <v>Special-White</v>
          </cell>
        </row>
        <row r="15">
          <cell r="A15">
            <v>11113</v>
          </cell>
          <cell r="B15" t="str">
            <v>1.5 Inch Dia UPVC Pipe Class-D</v>
          </cell>
          <cell r="C15" t="str">
            <v>Grey</v>
          </cell>
          <cell r="D15" t="str">
            <v>2.5-3.0</v>
          </cell>
          <cell r="E15">
            <v>15</v>
          </cell>
          <cell r="F15">
            <v>2.65</v>
          </cell>
          <cell r="G15" t="str">
            <v>SBS-Grey</v>
          </cell>
        </row>
        <row r="16">
          <cell r="A16">
            <v>13281</v>
          </cell>
          <cell r="B16" t="str">
            <v>1.5 Inch Dia UPVC Pipe Class-D  AS LIKE BS</v>
          </cell>
          <cell r="C16" t="str">
            <v>Grey</v>
          </cell>
          <cell r="D16" t="str">
            <v>2.5-3.0</v>
          </cell>
          <cell r="E16">
            <v>15</v>
          </cell>
          <cell r="F16">
            <v>2.85</v>
          </cell>
          <cell r="G16" t="str">
            <v>Economy- Grey</v>
          </cell>
        </row>
        <row r="17">
          <cell r="A17">
            <v>13397</v>
          </cell>
          <cell r="B17" t="str">
            <v>1.5 Inch Dia Upvc Pipe Class D-SP (Br)</v>
          </cell>
          <cell r="C17" t="str">
            <v>Grey</v>
          </cell>
          <cell r="D17" t="str">
            <v>2.5-3.1</v>
          </cell>
          <cell r="E17">
            <v>15</v>
          </cell>
          <cell r="F17">
            <v>2.85</v>
          </cell>
          <cell r="G17" t="str">
            <v>STD-Grey</v>
          </cell>
        </row>
        <row r="18">
          <cell r="A18">
            <v>11120</v>
          </cell>
          <cell r="B18" t="str">
            <v>1.5 Inch Dia UPVC Pipe Class-Super</v>
          </cell>
          <cell r="C18" t="str">
            <v>Grey</v>
          </cell>
          <cell r="D18" t="str">
            <v>2.2-2.3</v>
          </cell>
          <cell r="E18">
            <v>15</v>
          </cell>
          <cell r="F18">
            <v>2.2000000000000002</v>
          </cell>
          <cell r="G18" t="str">
            <v>SBS-Grey</v>
          </cell>
        </row>
        <row r="19">
          <cell r="A19">
            <v>12504</v>
          </cell>
          <cell r="B19" t="str">
            <v>1.5 Inch Dia UPVC Pipe Class-E</v>
          </cell>
          <cell r="C19" t="str">
            <v>Grey</v>
          </cell>
          <cell r="D19" t="str">
            <v>3.1-3.7</v>
          </cell>
          <cell r="E19">
            <v>15</v>
          </cell>
          <cell r="F19">
            <v>3.7</v>
          </cell>
          <cell r="G19" t="str">
            <v>SBS-Grey</v>
          </cell>
        </row>
        <row r="20">
          <cell r="A20">
            <v>11116</v>
          </cell>
          <cell r="B20" t="str">
            <v>1.5 Inch Dia UPVC Pipe Class-Special</v>
          </cell>
          <cell r="C20" t="str">
            <v>White</v>
          </cell>
          <cell r="D20" t="str">
            <v>1.8-1.9</v>
          </cell>
          <cell r="E20">
            <v>15</v>
          </cell>
          <cell r="F20">
            <v>2.2000000000000002</v>
          </cell>
          <cell r="G20" t="str">
            <v>Economy- White</v>
          </cell>
        </row>
        <row r="21">
          <cell r="A21">
            <v>13360</v>
          </cell>
          <cell r="B21" t="str">
            <v>1.5 Inch Dia UPVC Pipe Class-Special  (S)</v>
          </cell>
          <cell r="C21" t="str">
            <v>White</v>
          </cell>
          <cell r="D21" t="str">
            <v>1.8-1.9</v>
          </cell>
          <cell r="E21">
            <v>15</v>
          </cell>
          <cell r="F21">
            <v>2.2799999999999998</v>
          </cell>
          <cell r="G21" t="str">
            <v>Special-White</v>
          </cell>
        </row>
        <row r="22">
          <cell r="A22">
            <v>11124</v>
          </cell>
          <cell r="B22" t="str">
            <v>1.5 Inch Dia Upvc Pipe Class Special - SP (Grey)</v>
          </cell>
          <cell r="C22" t="str">
            <v>Grey</v>
          </cell>
          <cell r="D22" t="str">
            <v>1.8-1.9</v>
          </cell>
          <cell r="E22">
            <v>15</v>
          </cell>
          <cell r="F22">
            <v>2.2000000000000002</v>
          </cell>
          <cell r="G22" t="str">
            <v>Economy- Grey</v>
          </cell>
        </row>
        <row r="23">
          <cell r="A23">
            <v>11122</v>
          </cell>
          <cell r="B23" t="str">
            <v>1.5 Inch Dia Upvc Pipe Class D-SP ( Grey)</v>
          </cell>
          <cell r="C23" t="str">
            <v>Grey</v>
          </cell>
          <cell r="D23" t="str">
            <v>2.5-3.0</v>
          </cell>
          <cell r="E23">
            <v>15</v>
          </cell>
          <cell r="F23">
            <v>2.85</v>
          </cell>
          <cell r="G23" t="str">
            <v>Economy- Grey</v>
          </cell>
        </row>
        <row r="24">
          <cell r="A24">
            <v>11121</v>
          </cell>
          <cell r="B24" t="str">
            <v>1.5 Inch Dia Upvc Pipe Class D-SP (White)</v>
          </cell>
          <cell r="C24" t="str">
            <v>White</v>
          </cell>
          <cell r="D24" t="str">
            <v>2.5-3.0</v>
          </cell>
          <cell r="E24">
            <v>15</v>
          </cell>
          <cell r="F24">
            <v>2.85</v>
          </cell>
          <cell r="G24" t="str">
            <v>Economy- White</v>
          </cell>
        </row>
        <row r="25">
          <cell r="A25">
            <v>13346</v>
          </cell>
          <cell r="B25" t="str">
            <v>1.5 Inch Dia Upvc Pipe Class D-SP ( Grey)(S)</v>
          </cell>
          <cell r="C25" t="str">
            <v>Grey</v>
          </cell>
          <cell r="D25" t="str">
            <v>2.2-2.5</v>
          </cell>
          <cell r="E25">
            <v>15</v>
          </cell>
          <cell r="F25">
            <v>2.75</v>
          </cell>
          <cell r="G25" t="str">
            <v>Economy- Grey</v>
          </cell>
        </row>
        <row r="26">
          <cell r="A26">
            <v>13345</v>
          </cell>
          <cell r="B26" t="str">
            <v>1.5 Inch Dia Upvc Pipe Class D-SP (White)(S)</v>
          </cell>
          <cell r="C26" t="str">
            <v>White</v>
          </cell>
          <cell r="D26" t="str">
            <v>2.2-2.5</v>
          </cell>
          <cell r="E26">
            <v>15</v>
          </cell>
          <cell r="F26">
            <v>2.75</v>
          </cell>
          <cell r="G26" t="str">
            <v>Economy- White</v>
          </cell>
        </row>
        <row r="27">
          <cell r="A27">
            <v>11107</v>
          </cell>
          <cell r="B27" t="str">
            <v>1.25 Inch Dia UPVC Pipe Class-D</v>
          </cell>
          <cell r="C27" t="str">
            <v>Grey</v>
          </cell>
          <cell r="D27" t="str">
            <v>2.2-2.7</v>
          </cell>
          <cell r="E27">
            <v>15</v>
          </cell>
          <cell r="F27">
            <v>2.2000000000000002</v>
          </cell>
          <cell r="G27" t="str">
            <v>SBS-Grey</v>
          </cell>
        </row>
        <row r="28">
          <cell r="A28" t="e">
            <v>#N/A</v>
          </cell>
          <cell r="B28" t="str">
            <v>1.25 Inch Dia UPVC Pipe Class-E</v>
          </cell>
          <cell r="C28" t="str">
            <v>Grey</v>
          </cell>
          <cell r="D28" t="str">
            <v>2.7-3.2</v>
          </cell>
          <cell r="E28">
            <v>15</v>
          </cell>
          <cell r="F28">
            <v>2.8</v>
          </cell>
          <cell r="G28" t="str">
            <v>SBS-Grey</v>
          </cell>
        </row>
        <row r="29">
          <cell r="A29">
            <v>11130</v>
          </cell>
          <cell r="B29" t="str">
            <v>2 Inch Dia UPVC Pipe Class D</v>
          </cell>
          <cell r="C29" t="str">
            <v>Grey</v>
          </cell>
          <cell r="D29" t="str">
            <v>3.1-3.3</v>
          </cell>
          <cell r="E29">
            <v>15</v>
          </cell>
          <cell r="F29">
            <v>4.0999999999999996</v>
          </cell>
          <cell r="G29" t="str">
            <v>SBS-Grey</v>
          </cell>
        </row>
        <row r="30">
          <cell r="A30">
            <v>11125</v>
          </cell>
          <cell r="B30" t="str">
            <v>2 Inch Dia Upvc Sanitary Pipe Special</v>
          </cell>
          <cell r="C30" t="str">
            <v>Grey</v>
          </cell>
          <cell r="D30" t="str">
            <v>1.5-1.7</v>
          </cell>
          <cell r="E30">
            <v>15</v>
          </cell>
          <cell r="F30">
            <v>2.5</v>
          </cell>
          <cell r="G30" t="str">
            <v>SWR-Grey</v>
          </cell>
        </row>
        <row r="31">
          <cell r="A31">
            <v>12968</v>
          </cell>
          <cell r="B31" t="str">
            <v>2 Inch Dia UPVC Pipe Class D Diamond</v>
          </cell>
          <cell r="C31" t="str">
            <v>Grey</v>
          </cell>
          <cell r="D31" t="str">
            <v>3.1-3.3</v>
          </cell>
          <cell r="E31">
            <v>15</v>
          </cell>
          <cell r="F31">
            <v>4.0999999999999996</v>
          </cell>
          <cell r="G31" t="str">
            <v>SBS-Grey</v>
          </cell>
        </row>
        <row r="32">
          <cell r="A32">
            <v>0</v>
          </cell>
          <cell r="B32" t="str">
            <v>2 Inch Dia Upvc Pipe Class-E Diamond</v>
          </cell>
          <cell r="C32" t="str">
            <v>Grey</v>
          </cell>
          <cell r="D32" t="str">
            <v>3.9-4.5</v>
          </cell>
          <cell r="E32">
            <v>15</v>
          </cell>
          <cell r="F32">
            <v>5.3</v>
          </cell>
          <cell r="G32" t="str">
            <v>SBS-Grey</v>
          </cell>
        </row>
        <row r="33">
          <cell r="A33" t="e">
            <v>#N/A</v>
          </cell>
          <cell r="B33" t="str">
            <v>2 Inch Dia UPVC Pipe Class D Special</v>
          </cell>
          <cell r="C33" t="str">
            <v>Grey</v>
          </cell>
          <cell r="D33" t="str">
            <v>3.1-3.3</v>
          </cell>
          <cell r="E33">
            <v>15</v>
          </cell>
          <cell r="F33">
            <v>4.0999999999999996</v>
          </cell>
          <cell r="G33" t="str">
            <v>SBS-Grey</v>
          </cell>
        </row>
        <row r="34">
          <cell r="A34" t="e">
            <v>#N/A</v>
          </cell>
          <cell r="B34" t="str">
            <v>2 Inch Dia Upvc Pipe Class-E Special</v>
          </cell>
          <cell r="C34" t="str">
            <v>Grey</v>
          </cell>
          <cell r="D34" t="str">
            <v>3.9-4.5</v>
          </cell>
          <cell r="E34">
            <v>15</v>
          </cell>
          <cell r="F34">
            <v>5.3</v>
          </cell>
          <cell r="G34" t="str">
            <v>SBS-Grey</v>
          </cell>
        </row>
        <row r="35">
          <cell r="A35">
            <v>11128</v>
          </cell>
          <cell r="B35" t="str">
            <v>2 Inch Dia UPVC Pipe Class-C</v>
          </cell>
          <cell r="C35" t="str">
            <v>Grey</v>
          </cell>
          <cell r="D35" t="str">
            <v>2.50-3.00</v>
          </cell>
          <cell r="E35">
            <v>15</v>
          </cell>
          <cell r="F35">
            <v>3.4</v>
          </cell>
          <cell r="G35" t="str">
            <v>SBS-Grey</v>
          </cell>
        </row>
        <row r="36">
          <cell r="A36">
            <v>12736</v>
          </cell>
          <cell r="B36" t="str">
            <v>2 Inch Dia Upvc Pipe Class-E</v>
          </cell>
          <cell r="C36" t="str">
            <v>Grey</v>
          </cell>
          <cell r="D36" t="str">
            <v>3.9-4.5</v>
          </cell>
          <cell r="E36">
            <v>15</v>
          </cell>
          <cell r="F36">
            <v>5.3</v>
          </cell>
          <cell r="G36" t="str">
            <v>SBS-Grey</v>
          </cell>
        </row>
        <row r="37">
          <cell r="A37">
            <v>12955</v>
          </cell>
          <cell r="B37" t="str">
            <v>2 Inch Dia UPVC Pipe Supper</v>
          </cell>
          <cell r="C37" t="str">
            <v>Grey</v>
          </cell>
          <cell r="D37">
            <v>0</v>
          </cell>
          <cell r="E37">
            <v>15</v>
          </cell>
          <cell r="F37">
            <v>3.8</v>
          </cell>
          <cell r="G37" t="str">
            <v>SWR-Grey</v>
          </cell>
        </row>
        <row r="38">
          <cell r="A38">
            <v>12536</v>
          </cell>
          <cell r="B38" t="str">
            <v>2 Inch Dia Upvc Pipe Star (Gray)</v>
          </cell>
          <cell r="C38" t="str">
            <v>Grey</v>
          </cell>
          <cell r="D38" t="str">
            <v>2.5-2.8</v>
          </cell>
          <cell r="E38">
            <v>15</v>
          </cell>
          <cell r="F38">
            <v>4.0999999999999996</v>
          </cell>
          <cell r="G38" t="str">
            <v>SWR-Grey</v>
          </cell>
        </row>
        <row r="39">
          <cell r="A39">
            <v>11135</v>
          </cell>
          <cell r="B39" t="str">
            <v>3 Inch Dia UPVC Pipe Class-B</v>
          </cell>
          <cell r="C39" t="str">
            <v>Grey</v>
          </cell>
          <cell r="D39" t="str">
            <v>2.9-3.4</v>
          </cell>
          <cell r="E39">
            <v>6</v>
          </cell>
          <cell r="F39">
            <v>7.8</v>
          </cell>
          <cell r="G39" t="str">
            <v>SBS-Grey</v>
          </cell>
        </row>
        <row r="40">
          <cell r="A40">
            <v>11137</v>
          </cell>
          <cell r="B40" t="str">
            <v>3 Inch Dia UPVC Pipe Class-C</v>
          </cell>
          <cell r="C40" t="str">
            <v>Grey</v>
          </cell>
          <cell r="D40" t="str">
            <v>3.5-4.1</v>
          </cell>
          <cell r="E40">
            <v>6</v>
          </cell>
          <cell r="F40">
            <v>9.5</v>
          </cell>
          <cell r="G40" t="str">
            <v>SBS-Grey</v>
          </cell>
        </row>
        <row r="41">
          <cell r="A41">
            <v>11139</v>
          </cell>
          <cell r="B41" t="str">
            <v>3 Inch Dia UPVC Pipe Class D</v>
          </cell>
          <cell r="C41" t="str">
            <v>Grey</v>
          </cell>
          <cell r="D41" t="str">
            <v>4.6-5.3</v>
          </cell>
          <cell r="E41">
            <v>6</v>
          </cell>
          <cell r="F41">
            <v>11.8</v>
          </cell>
          <cell r="G41" t="str">
            <v>SBS-Grey</v>
          </cell>
        </row>
        <row r="42">
          <cell r="A42">
            <v>13205</v>
          </cell>
          <cell r="B42" t="str">
            <v>3 Inch Dia UPVC Pipe Class D Special</v>
          </cell>
          <cell r="C42" t="str">
            <v>Grey</v>
          </cell>
          <cell r="D42" t="str">
            <v>4.6-5.3</v>
          </cell>
          <cell r="E42">
            <v>6</v>
          </cell>
          <cell r="F42">
            <v>11.8</v>
          </cell>
          <cell r="G42" t="str">
            <v>SBS-Grey</v>
          </cell>
        </row>
        <row r="43">
          <cell r="A43">
            <v>11126</v>
          </cell>
          <cell r="B43" t="str">
            <v>3 Inch Dia Upvc Sanitary Pipe Special</v>
          </cell>
          <cell r="C43" t="str">
            <v>Grey</v>
          </cell>
          <cell r="D43" t="str">
            <v>1.6-1.8</v>
          </cell>
          <cell r="E43">
            <v>6</v>
          </cell>
          <cell r="F43">
            <v>4.5999999999999996</v>
          </cell>
          <cell r="G43" t="str">
            <v>SWR-Grey</v>
          </cell>
        </row>
        <row r="44">
          <cell r="A44">
            <v>11133</v>
          </cell>
          <cell r="B44" t="str">
            <v>3 Inch Dia Upvc Pipe-Star (2.7 Thickness)  15'</v>
          </cell>
          <cell r="C44" t="str">
            <v>Grey</v>
          </cell>
          <cell r="D44" t="str">
            <v>2.6-2.9</v>
          </cell>
          <cell r="E44">
            <v>15</v>
          </cell>
          <cell r="F44">
            <v>6</v>
          </cell>
          <cell r="G44" t="str">
            <v>SWR-Grey</v>
          </cell>
        </row>
        <row r="45">
          <cell r="A45">
            <v>11132</v>
          </cell>
          <cell r="B45" t="str">
            <v>3 Inch Dia Upvc Pipe-Star (2.7 Thickness) - 20 Feet</v>
          </cell>
          <cell r="C45" t="str">
            <v>Grey</v>
          </cell>
          <cell r="D45" t="str">
            <v>2.6-2.9</v>
          </cell>
          <cell r="E45">
            <v>20</v>
          </cell>
          <cell r="F45">
            <v>8</v>
          </cell>
          <cell r="G45" t="str">
            <v>SWR-Grey</v>
          </cell>
        </row>
        <row r="46">
          <cell r="A46">
            <v>12100</v>
          </cell>
          <cell r="B46" t="str">
            <v>3 Inch Dia UPVC Pipe Class E</v>
          </cell>
          <cell r="C46" t="str">
            <v>Grey</v>
          </cell>
          <cell r="D46" t="str">
            <v>5.7-6.6</v>
          </cell>
          <cell r="E46">
            <v>6</v>
          </cell>
          <cell r="F46">
            <v>16.5</v>
          </cell>
          <cell r="G46" t="str">
            <v>SBS-Grey</v>
          </cell>
        </row>
        <row r="47">
          <cell r="A47">
            <v>12579</v>
          </cell>
          <cell r="B47" t="str">
            <v>3 Inc Dia Pipe Class C-SPL</v>
          </cell>
          <cell r="C47" t="str">
            <v>Grey</v>
          </cell>
          <cell r="D47" t="str">
            <v>2.9-3.4</v>
          </cell>
          <cell r="E47">
            <v>6</v>
          </cell>
          <cell r="F47">
            <v>9</v>
          </cell>
          <cell r="G47" t="str">
            <v>Economy- Grey</v>
          </cell>
        </row>
        <row r="48">
          <cell r="A48">
            <v>13251</v>
          </cell>
          <cell r="B48" t="str">
            <v>3 Inc Dia Pipe Class C-SPL(3.0)</v>
          </cell>
          <cell r="C48" t="str">
            <v>Grey</v>
          </cell>
          <cell r="D48">
            <v>3</v>
          </cell>
          <cell r="E48">
            <v>6</v>
          </cell>
          <cell r="F48">
            <v>8.4</v>
          </cell>
          <cell r="G48" t="str">
            <v>Economy- Grey</v>
          </cell>
        </row>
        <row r="49">
          <cell r="A49">
            <v>11145</v>
          </cell>
          <cell r="B49" t="str">
            <v>4 Inch Dia UPVC Pipe Class-B</v>
          </cell>
          <cell r="C49" t="str">
            <v>Grey</v>
          </cell>
          <cell r="D49" t="str">
            <v>3.4-4.0</v>
          </cell>
          <cell r="E49">
            <v>6</v>
          </cell>
          <cell r="F49">
            <v>11.8</v>
          </cell>
          <cell r="G49" t="str">
            <v>SBS-Grey</v>
          </cell>
        </row>
        <row r="50">
          <cell r="A50">
            <v>11147</v>
          </cell>
          <cell r="B50" t="str">
            <v>4 Inch Dia UPVC Pipe Class-C</v>
          </cell>
          <cell r="C50" t="str">
            <v>Grey</v>
          </cell>
          <cell r="D50" t="str">
            <v>4.5-5.2</v>
          </cell>
          <cell r="E50">
            <v>6</v>
          </cell>
          <cell r="F50">
            <v>15.3</v>
          </cell>
          <cell r="G50" t="str">
            <v>SBS-Grey</v>
          </cell>
        </row>
        <row r="51">
          <cell r="A51">
            <v>11202</v>
          </cell>
          <cell r="B51" t="str">
            <v>4 Inch Dia Class -C SPL</v>
          </cell>
          <cell r="C51" t="str">
            <v>Grey</v>
          </cell>
          <cell r="D51" t="str">
            <v>4.5-5.2</v>
          </cell>
          <cell r="E51">
            <v>6</v>
          </cell>
          <cell r="F51">
            <v>16</v>
          </cell>
          <cell r="G51" t="str">
            <v xml:space="preserve">Three Layer </v>
          </cell>
        </row>
        <row r="52">
          <cell r="A52" t="str">
            <v>13238</v>
          </cell>
          <cell r="B52" t="str">
            <v>4 Inch Dia Class -C SPL(4.50)</v>
          </cell>
          <cell r="C52" t="str">
            <v>Grey</v>
          </cell>
          <cell r="D52">
            <v>4.5</v>
          </cell>
          <cell r="E52">
            <v>6</v>
          </cell>
          <cell r="F52">
            <v>15.5</v>
          </cell>
          <cell r="G52" t="str">
            <v xml:space="preserve">Three Layer </v>
          </cell>
        </row>
        <row r="53">
          <cell r="A53">
            <v>11149</v>
          </cell>
          <cell r="B53" t="str">
            <v>4 Inch Dia UPVC Pipe Class-D</v>
          </cell>
          <cell r="C53" t="str">
            <v>Grey</v>
          </cell>
          <cell r="D53" t="str">
            <v>6.0-6.9</v>
          </cell>
          <cell r="E53">
            <v>6</v>
          </cell>
          <cell r="F53">
            <v>19.600000000000001</v>
          </cell>
          <cell r="G53" t="str">
            <v>SBS-Grey</v>
          </cell>
        </row>
        <row r="54">
          <cell r="A54">
            <v>11391</v>
          </cell>
          <cell r="B54" t="str">
            <v>4 Inch Dia UPVC Pipe Class-D SPL</v>
          </cell>
          <cell r="C54" t="str">
            <v>Grey</v>
          </cell>
          <cell r="D54" t="str">
            <v>6.0-6.9</v>
          </cell>
          <cell r="E54">
            <v>6</v>
          </cell>
          <cell r="F54">
            <v>20</v>
          </cell>
          <cell r="G54" t="str">
            <v>Three Layer</v>
          </cell>
        </row>
        <row r="55">
          <cell r="A55" t="str">
            <v>13241</v>
          </cell>
          <cell r="B55" t="str">
            <v>4 Inch Dia UPVC Pipe Class-D SPL(6.0)</v>
          </cell>
          <cell r="C55" t="str">
            <v>Grey</v>
          </cell>
          <cell r="D55">
            <v>6</v>
          </cell>
          <cell r="E55">
            <v>6</v>
          </cell>
          <cell r="F55">
            <v>19.5</v>
          </cell>
          <cell r="G55" t="str">
            <v xml:space="preserve">Three Layer </v>
          </cell>
        </row>
        <row r="56">
          <cell r="A56">
            <v>12970</v>
          </cell>
          <cell r="B56" t="str">
            <v>4 Inch Dia UPVC Pipe Class-D SPL Diamond</v>
          </cell>
          <cell r="C56" t="str">
            <v>Grey</v>
          </cell>
          <cell r="D56" t="str">
            <v>6.0-6.9</v>
          </cell>
          <cell r="E56">
            <v>6</v>
          </cell>
          <cell r="F56">
            <v>20</v>
          </cell>
          <cell r="G56" t="str">
            <v xml:space="preserve">Three Layer </v>
          </cell>
        </row>
        <row r="57">
          <cell r="A57">
            <v>12949</v>
          </cell>
          <cell r="B57" t="str">
            <v>4 Inch Dia UPVC Pipe Class-D Special</v>
          </cell>
          <cell r="C57" t="str">
            <v>Grey</v>
          </cell>
          <cell r="D57" t="str">
            <v>6.0-6.9</v>
          </cell>
          <cell r="E57">
            <v>6</v>
          </cell>
          <cell r="F57">
            <v>20.399999999999999</v>
          </cell>
          <cell r="G57" t="str">
            <v>SBS-Grey</v>
          </cell>
        </row>
        <row r="58">
          <cell r="A58">
            <v>11151</v>
          </cell>
          <cell r="B58" t="str">
            <v>4 Inch Dia UPVC Pipe Class-E</v>
          </cell>
          <cell r="C58" t="str">
            <v>Grey</v>
          </cell>
          <cell r="D58" t="str">
            <v>7.3-8.4</v>
          </cell>
          <cell r="E58">
            <v>6</v>
          </cell>
          <cell r="F58">
            <v>24.5</v>
          </cell>
          <cell r="G58" t="str">
            <v>SBS-Grey</v>
          </cell>
        </row>
        <row r="59">
          <cell r="A59">
            <v>11141</v>
          </cell>
          <cell r="B59" t="str">
            <v>4 Inch Upvc Pipe Star (Gray 20 Ft )</v>
          </cell>
          <cell r="C59" t="str">
            <v>Grey</v>
          </cell>
          <cell r="D59" t="str">
            <v>3.2-3.4</v>
          </cell>
          <cell r="E59">
            <v>6</v>
          </cell>
          <cell r="F59">
            <v>12.5</v>
          </cell>
          <cell r="G59" t="str">
            <v>SWR-Grey</v>
          </cell>
        </row>
        <row r="60">
          <cell r="A60">
            <v>11204</v>
          </cell>
          <cell r="B60" t="str">
            <v>5 Inch Dia Upvc Pipe-Star</v>
          </cell>
          <cell r="C60" t="str">
            <v>Grey</v>
          </cell>
          <cell r="D60" t="str">
            <v>3.8-4.0</v>
          </cell>
          <cell r="E60">
            <v>6</v>
          </cell>
          <cell r="F60">
            <v>18.5</v>
          </cell>
          <cell r="G60" t="str">
            <v>SWR-Grey</v>
          </cell>
        </row>
        <row r="61">
          <cell r="A61">
            <v>11159</v>
          </cell>
          <cell r="B61" t="str">
            <v>5 Inch Dia Upvc Pipe Class-E</v>
          </cell>
          <cell r="C61" t="str">
            <v>Grey</v>
          </cell>
          <cell r="D61" t="str">
            <v>9.0-10.4</v>
          </cell>
          <cell r="E61">
            <v>6</v>
          </cell>
          <cell r="F61">
            <v>35</v>
          </cell>
          <cell r="G61" t="str">
            <v>SBS-Grey</v>
          </cell>
        </row>
        <row r="62">
          <cell r="A62">
            <v>11157</v>
          </cell>
          <cell r="B62" t="str">
            <v>5 Inch Dia Upvc Pipe Class-D</v>
          </cell>
          <cell r="C62" t="str">
            <v>Grey</v>
          </cell>
          <cell r="D62" t="str">
            <v>7.3-8.4</v>
          </cell>
          <cell r="E62">
            <v>6</v>
          </cell>
          <cell r="F62">
            <v>30.5</v>
          </cell>
          <cell r="G62" t="str">
            <v>SBS-Grey</v>
          </cell>
        </row>
        <row r="63">
          <cell r="A63">
            <v>11200</v>
          </cell>
          <cell r="B63" t="str">
            <v>5 Inch Dia Upvc Pipe Class-D SPL</v>
          </cell>
          <cell r="C63" t="str">
            <v>Grey</v>
          </cell>
          <cell r="D63" t="str">
            <v>7.3-8.5</v>
          </cell>
          <cell r="E63">
            <v>6</v>
          </cell>
          <cell r="F63">
            <v>31</v>
          </cell>
          <cell r="G63" t="str">
            <v xml:space="preserve">Three Layer </v>
          </cell>
        </row>
        <row r="64">
          <cell r="A64">
            <v>12972</v>
          </cell>
          <cell r="B64" t="str">
            <v>5 Inch Dia Upvc Pipe Class-D SPL Diamond</v>
          </cell>
          <cell r="C64" t="str">
            <v>Grey</v>
          </cell>
          <cell r="D64" t="str">
            <v>7.3-8.4</v>
          </cell>
          <cell r="E64">
            <v>6</v>
          </cell>
          <cell r="F64">
            <v>30.5</v>
          </cell>
          <cell r="G64" t="str">
            <v xml:space="preserve">Three Layer </v>
          </cell>
        </row>
        <row r="65">
          <cell r="A65">
            <v>11127</v>
          </cell>
          <cell r="B65" t="str">
            <v>5 Inch Dia Upvc Sanitary Pipe Special</v>
          </cell>
          <cell r="C65" t="str">
            <v>Grey</v>
          </cell>
          <cell r="D65" t="str">
            <v>1.9-2.3</v>
          </cell>
          <cell r="E65">
            <v>20</v>
          </cell>
          <cell r="F65">
            <v>10.5</v>
          </cell>
          <cell r="G65" t="str">
            <v>SWR-Grey</v>
          </cell>
        </row>
        <row r="66">
          <cell r="A66">
            <v>11153</v>
          </cell>
          <cell r="B66" t="str">
            <v>5 Inch Dia UPVC Pipe Class-B</v>
          </cell>
          <cell r="C66" t="str">
            <v>Grey</v>
          </cell>
          <cell r="D66" t="str">
            <v>3.8-4.4</v>
          </cell>
          <cell r="E66">
            <v>6</v>
          </cell>
          <cell r="F66">
            <v>16.7</v>
          </cell>
          <cell r="G66" t="str">
            <v>SBS-Grey</v>
          </cell>
        </row>
        <row r="67">
          <cell r="A67">
            <v>11155</v>
          </cell>
          <cell r="B67" t="str">
            <v>5 Inch Dia UPVC Pipe Class-C</v>
          </cell>
          <cell r="C67" t="str">
            <v>Grey</v>
          </cell>
          <cell r="D67" t="str">
            <v>5.5-6.4</v>
          </cell>
          <cell r="E67">
            <v>6</v>
          </cell>
          <cell r="F67">
            <v>23.5</v>
          </cell>
          <cell r="G67" t="str">
            <v>SBS-Grey</v>
          </cell>
        </row>
        <row r="68">
          <cell r="A68" t="str">
            <v>12950</v>
          </cell>
          <cell r="B68" t="str">
            <v>5 Inch Dia Upvc Pipe Class-D Special</v>
          </cell>
          <cell r="C68" t="str">
            <v>Grey</v>
          </cell>
          <cell r="D68" t="str">
            <v>7.3-8.4</v>
          </cell>
          <cell r="E68">
            <v>6</v>
          </cell>
          <cell r="F68">
            <v>31</v>
          </cell>
          <cell r="G68" t="str">
            <v xml:space="preserve">Three Layer </v>
          </cell>
        </row>
        <row r="69">
          <cell r="A69">
            <v>11165</v>
          </cell>
          <cell r="B69" t="str">
            <v>6 Inch Dia UPVC Pipe Class- D</v>
          </cell>
          <cell r="C69" t="str">
            <v>Grey</v>
          </cell>
          <cell r="D69" t="str">
            <v>8.8-10.2</v>
          </cell>
          <cell r="E69">
            <v>6</v>
          </cell>
          <cell r="F69">
            <v>43.8</v>
          </cell>
          <cell r="G69" t="str">
            <v>SBS-Grey</v>
          </cell>
        </row>
        <row r="70">
          <cell r="A70">
            <v>11161</v>
          </cell>
          <cell r="B70" t="str">
            <v>6 Inch Dia UPVC Pipe Class-B</v>
          </cell>
          <cell r="C70" t="str">
            <v>Grey</v>
          </cell>
          <cell r="D70" t="str">
            <v>4.5-5.2</v>
          </cell>
          <cell r="E70">
            <v>6</v>
          </cell>
          <cell r="F70">
            <v>23.5</v>
          </cell>
          <cell r="G70" t="str">
            <v>SBS-Grey</v>
          </cell>
        </row>
        <row r="71">
          <cell r="A71">
            <v>11167</v>
          </cell>
          <cell r="B71" t="str">
            <v>6 Inch Dia UPVC Pipe Class-E</v>
          </cell>
          <cell r="C71" t="str">
            <v>Grey</v>
          </cell>
          <cell r="D71" t="str">
            <v>10.8-12.5</v>
          </cell>
          <cell r="E71">
            <v>6</v>
          </cell>
          <cell r="F71">
            <v>51.5</v>
          </cell>
          <cell r="G71" t="str">
            <v>SBS-Grey</v>
          </cell>
        </row>
        <row r="72">
          <cell r="A72">
            <v>11163</v>
          </cell>
          <cell r="B72" t="str">
            <v>6 Inch Dia UPVC Pipe Class-C</v>
          </cell>
          <cell r="C72" t="str">
            <v>Grey</v>
          </cell>
          <cell r="D72" t="str">
            <v>6.6-7.6</v>
          </cell>
          <cell r="E72">
            <v>6</v>
          </cell>
          <cell r="F72">
            <v>32.5</v>
          </cell>
          <cell r="G72" t="str">
            <v>SBS-Grey</v>
          </cell>
        </row>
        <row r="73">
          <cell r="A73">
            <v>11173</v>
          </cell>
          <cell r="B73" t="str">
            <v>8 Inch Dia Upvc Pipe Class D</v>
          </cell>
          <cell r="C73" t="str">
            <v>Grey</v>
          </cell>
          <cell r="D73" t="str">
            <v>10.3-11.9</v>
          </cell>
          <cell r="E73">
            <v>6</v>
          </cell>
          <cell r="F73">
            <v>65.5</v>
          </cell>
          <cell r="G73" t="str">
            <v>SBS-Grey</v>
          </cell>
        </row>
        <row r="74">
          <cell r="A74">
            <v>11169</v>
          </cell>
          <cell r="B74" t="str">
            <v>8 Inch Dia UPVC Pipe Class-B</v>
          </cell>
          <cell r="C74" t="str">
            <v>Grey</v>
          </cell>
          <cell r="D74" t="str">
            <v>5.3-6.1</v>
          </cell>
          <cell r="E74">
            <v>6</v>
          </cell>
          <cell r="F74">
            <v>35</v>
          </cell>
          <cell r="G74" t="str">
            <v>SBS-Grey</v>
          </cell>
        </row>
        <row r="75">
          <cell r="A75">
            <v>11171</v>
          </cell>
          <cell r="B75" t="str">
            <v>8 Inch Dia UPVC Pipe Class-C</v>
          </cell>
          <cell r="C75" t="str">
            <v>Grey</v>
          </cell>
          <cell r="D75" t="str">
            <v>7.8-9.0</v>
          </cell>
          <cell r="E75">
            <v>6</v>
          </cell>
          <cell r="F75">
            <v>50</v>
          </cell>
          <cell r="G75" t="str">
            <v>SBS-Grey</v>
          </cell>
        </row>
        <row r="76">
          <cell r="A76">
            <v>12575</v>
          </cell>
          <cell r="B76" t="str">
            <v>8 Inc Dia Pipe Class C-SPL</v>
          </cell>
          <cell r="C76" t="str">
            <v>Grey</v>
          </cell>
          <cell r="D76" t="str">
            <v>7.8-8.5</v>
          </cell>
          <cell r="E76">
            <v>6</v>
          </cell>
          <cell r="F76">
            <v>56</v>
          </cell>
          <cell r="G76" t="str">
            <v>Economy- Grey</v>
          </cell>
        </row>
        <row r="77">
          <cell r="A77">
            <v>11175</v>
          </cell>
          <cell r="B77" t="str">
            <v>8 Inch Dia UPVC Pipe Class-E</v>
          </cell>
          <cell r="C77" t="str">
            <v>Grey</v>
          </cell>
          <cell r="D77" t="str">
            <v>12.6-14.5</v>
          </cell>
          <cell r="E77">
            <v>6</v>
          </cell>
          <cell r="F77">
            <v>80</v>
          </cell>
          <cell r="G77" t="str">
            <v>SBS-Grey</v>
          </cell>
        </row>
        <row r="78">
          <cell r="A78">
            <v>12197</v>
          </cell>
          <cell r="B78" t="str">
            <v>8 Inch Dia UPVC Pipe Cassing ( Grey) ( Thickness 5.0 - 5.20)</v>
          </cell>
          <cell r="C78" t="str">
            <v>Grey</v>
          </cell>
          <cell r="D78" t="str">
            <v>5.1-5.3</v>
          </cell>
          <cell r="E78">
            <v>6</v>
          </cell>
          <cell r="F78">
            <v>37.5</v>
          </cell>
          <cell r="G78" t="str">
            <v>SWR-Grey</v>
          </cell>
        </row>
        <row r="79">
          <cell r="A79">
            <v>13225</v>
          </cell>
          <cell r="B79" t="str">
            <v>10 inch Dia Cassing Pipe (6.6 Thickness)</v>
          </cell>
          <cell r="C79" t="str">
            <v>Grey</v>
          </cell>
          <cell r="D79" t="str">
            <v>6.6-7.6</v>
          </cell>
          <cell r="E79">
            <v>6</v>
          </cell>
          <cell r="F79">
            <v>62</v>
          </cell>
          <cell r="G79" t="str">
            <v>SWR-Grey</v>
          </cell>
        </row>
        <row r="80">
          <cell r="A80">
            <v>11177</v>
          </cell>
          <cell r="B80" t="str">
            <v>10 Inch Dia Upvc Pipe Class -B</v>
          </cell>
          <cell r="C80" t="str">
            <v>Grey</v>
          </cell>
          <cell r="D80" t="str">
            <v>6.6-7.6</v>
          </cell>
          <cell r="E80">
            <v>6</v>
          </cell>
          <cell r="F80">
            <v>55</v>
          </cell>
          <cell r="G80" t="str">
            <v>SBS-Grey</v>
          </cell>
        </row>
        <row r="81">
          <cell r="A81">
            <v>13276</v>
          </cell>
          <cell r="B81" t="str">
            <v>10 Inch Dia Upvc Pipe Class -B (7.8mm)</v>
          </cell>
          <cell r="C81" t="str">
            <v>Grey</v>
          </cell>
          <cell r="D81">
            <v>0</v>
          </cell>
          <cell r="E81">
            <v>6</v>
          </cell>
          <cell r="F81">
            <v>0</v>
          </cell>
          <cell r="G81" t="str">
            <v>SBS-Grey</v>
          </cell>
        </row>
        <row r="82">
          <cell r="A82">
            <v>11179</v>
          </cell>
          <cell r="B82" t="str">
            <v>10 Inch Dia UPVC Pipe Class- C</v>
          </cell>
          <cell r="C82" t="str">
            <v>Grey</v>
          </cell>
          <cell r="D82" t="str">
            <v>9.7-11.2</v>
          </cell>
          <cell r="E82">
            <v>6</v>
          </cell>
          <cell r="F82">
            <v>78</v>
          </cell>
          <cell r="G82" t="str">
            <v>SBS-Grey</v>
          </cell>
        </row>
        <row r="83">
          <cell r="A83">
            <v>11182</v>
          </cell>
          <cell r="B83" t="str">
            <v>10 Inch Dia UPVC Pipe Class-E</v>
          </cell>
          <cell r="C83" t="str">
            <v>Grey</v>
          </cell>
          <cell r="D83" t="str">
            <v>15.7-18.1</v>
          </cell>
          <cell r="E83">
            <v>6</v>
          </cell>
          <cell r="F83">
            <v>124</v>
          </cell>
          <cell r="G83" t="str">
            <v>SBS-Grey</v>
          </cell>
        </row>
        <row r="84">
          <cell r="A84">
            <v>11181</v>
          </cell>
          <cell r="B84" t="str">
            <v>10 Inch Dia Upvc Pipe Class D</v>
          </cell>
          <cell r="C84" t="str">
            <v>Grey</v>
          </cell>
          <cell r="D84" t="str">
            <v>12.8-14.8</v>
          </cell>
          <cell r="E84">
            <v>6</v>
          </cell>
          <cell r="F84">
            <v>110</v>
          </cell>
          <cell r="G84" t="str">
            <v>SBS-Grey</v>
          </cell>
        </row>
        <row r="85">
          <cell r="A85">
            <v>11184</v>
          </cell>
          <cell r="B85" t="str">
            <v>12 Inch Dia Upvc Pipe Class-B</v>
          </cell>
          <cell r="C85" t="str">
            <v>Grey</v>
          </cell>
          <cell r="D85" t="str">
            <v>7.8-9.0</v>
          </cell>
          <cell r="E85">
            <v>6</v>
          </cell>
          <cell r="F85">
            <v>80</v>
          </cell>
          <cell r="G85" t="str">
            <v>SBS-Grey</v>
          </cell>
        </row>
        <row r="86">
          <cell r="A86">
            <v>11186</v>
          </cell>
          <cell r="B86" t="str">
            <v>12 Inch Dia Upvc Pipe Class-C</v>
          </cell>
          <cell r="C86" t="str">
            <v>Grey</v>
          </cell>
          <cell r="D86" t="str">
            <v>11.5-13.3</v>
          </cell>
          <cell r="E86">
            <v>6</v>
          </cell>
          <cell r="F86">
            <v>111</v>
          </cell>
          <cell r="G86" t="str">
            <v>SBS-Grey</v>
          </cell>
        </row>
        <row r="87">
          <cell r="A87">
            <v>12503</v>
          </cell>
          <cell r="B87" t="str">
            <v>12 Inch Dia Upvc Pipe Class-D</v>
          </cell>
          <cell r="C87" t="str">
            <v>Grey</v>
          </cell>
          <cell r="D87" t="str">
            <v>15.2-17.5</v>
          </cell>
          <cell r="E87">
            <v>6</v>
          </cell>
          <cell r="F87">
            <v>160</v>
          </cell>
          <cell r="G87" t="str">
            <v>SBS-Grey</v>
          </cell>
        </row>
        <row r="88">
          <cell r="A88">
            <v>11188</v>
          </cell>
          <cell r="B88" t="str">
            <v>12 Inch Dia Upvc Pipe Class-E</v>
          </cell>
          <cell r="C88" t="str">
            <v>Grey</v>
          </cell>
          <cell r="D88" t="str">
            <v>18.7-21.6</v>
          </cell>
          <cell r="E88">
            <v>6</v>
          </cell>
          <cell r="F88">
            <v>184</v>
          </cell>
          <cell r="G88" t="str">
            <v>SBS-Grey</v>
          </cell>
        </row>
        <row r="89">
          <cell r="A89">
            <v>11190</v>
          </cell>
          <cell r="B89" t="str">
            <v>14 Inch Dia UPVC Pipe Class-B</v>
          </cell>
          <cell r="C89" t="str">
            <v>Grey</v>
          </cell>
          <cell r="D89" t="str">
            <v>8.5-9.8</v>
          </cell>
          <cell r="E89">
            <v>6</v>
          </cell>
          <cell r="F89">
            <v>97.5</v>
          </cell>
          <cell r="G89" t="str">
            <v>SBS-Grey</v>
          </cell>
        </row>
        <row r="90">
          <cell r="A90">
            <v>11191</v>
          </cell>
          <cell r="B90" t="str">
            <v>14 Inch Dia UPVC Pipe Class-C</v>
          </cell>
          <cell r="C90" t="str">
            <v>Grey</v>
          </cell>
          <cell r="D90" t="str">
            <v>12.6-14.5</v>
          </cell>
          <cell r="E90">
            <v>6</v>
          </cell>
          <cell r="F90">
            <v>130</v>
          </cell>
          <cell r="G90" t="str">
            <v>SBS-Grey</v>
          </cell>
        </row>
        <row r="91">
          <cell r="A91">
            <v>11193</v>
          </cell>
          <cell r="B91" t="str">
            <v>14 Inch Dia Upvc Pipe Class-E (ft)</v>
          </cell>
          <cell r="C91" t="str">
            <v>Grey</v>
          </cell>
          <cell r="D91" t="str">
            <v>20.6-22.6</v>
          </cell>
          <cell r="E91">
            <v>6</v>
          </cell>
          <cell r="F91">
            <v>222</v>
          </cell>
          <cell r="G91" t="str">
            <v>SBS-Grey</v>
          </cell>
        </row>
        <row r="92">
          <cell r="A92">
            <v>11195</v>
          </cell>
          <cell r="B92" t="str">
            <v>16Inch Dia Upvc Pipe Class-B</v>
          </cell>
          <cell r="C92" t="str">
            <v>Grey</v>
          </cell>
          <cell r="D92" t="str">
            <v>9.7-11.2</v>
          </cell>
          <cell r="E92">
            <v>6</v>
          </cell>
          <cell r="F92">
            <v>132</v>
          </cell>
          <cell r="G92" t="str">
            <v>SBS-Grey</v>
          </cell>
        </row>
        <row r="93">
          <cell r="A93">
            <v>11196</v>
          </cell>
          <cell r="B93" t="str">
            <v>16 Inch Upvc Pipe ClassC</v>
          </cell>
          <cell r="C93" t="str">
            <v>Grey</v>
          </cell>
          <cell r="D93" t="str">
            <v>14.5-16.7</v>
          </cell>
          <cell r="E93">
            <v>6</v>
          </cell>
          <cell r="F93">
            <v>180</v>
          </cell>
          <cell r="G93" t="str">
            <v>SBS-Grey</v>
          </cell>
        </row>
        <row r="94">
          <cell r="A94">
            <v>12946</v>
          </cell>
          <cell r="B94" t="str">
            <v>16 Inch Dia Upvc Pipe Class-D</v>
          </cell>
          <cell r="C94" t="str">
            <v>Grey</v>
          </cell>
          <cell r="D94" t="str">
            <v>19.0-21.9</v>
          </cell>
          <cell r="E94">
            <v>6</v>
          </cell>
          <cell r="F94">
            <v>244</v>
          </cell>
          <cell r="G94" t="str">
            <v>SBS-Grey</v>
          </cell>
        </row>
        <row r="95">
          <cell r="A95">
            <v>11197</v>
          </cell>
          <cell r="B95" t="str">
            <v>16 Inch Dia UPVC Pipe Class-E</v>
          </cell>
          <cell r="C95" t="str">
            <v>Grey</v>
          </cell>
          <cell r="D95" t="str">
            <v>23.4-27.0</v>
          </cell>
          <cell r="E95">
            <v>6</v>
          </cell>
          <cell r="F95">
            <v>292</v>
          </cell>
          <cell r="G95" t="str">
            <v>SBS-Grey</v>
          </cell>
        </row>
        <row r="96">
          <cell r="A96">
            <v>0</v>
          </cell>
          <cell r="B96" t="str">
            <v>18 Inch Dia Upvc Pipe Class-D</v>
          </cell>
          <cell r="C96" t="str">
            <v>Grey</v>
          </cell>
          <cell r="D96" t="str">
            <v>21.4-24.6</v>
          </cell>
          <cell r="E96">
            <v>6</v>
          </cell>
          <cell r="F96">
            <v>302</v>
          </cell>
          <cell r="G96" t="str">
            <v>SBS-Grey</v>
          </cell>
        </row>
        <row r="97">
          <cell r="A97">
            <v>11198</v>
          </cell>
          <cell r="B97" t="str">
            <v>18 Inch Dia Pipe Class B (20ft)</v>
          </cell>
          <cell r="C97" t="str">
            <v>Grey</v>
          </cell>
          <cell r="D97" t="str">
            <v>11.0-12.0</v>
          </cell>
          <cell r="E97">
            <v>6</v>
          </cell>
          <cell r="F97">
            <v>158</v>
          </cell>
          <cell r="G97" t="str">
            <v>SBS-Grey</v>
          </cell>
        </row>
        <row r="98">
          <cell r="A98">
            <v>11199</v>
          </cell>
          <cell r="B98" t="str">
            <v>18 Inch Dia Upvc Pipe Class -C</v>
          </cell>
          <cell r="C98" t="str">
            <v>Grey</v>
          </cell>
          <cell r="D98" t="str">
            <v>16.3-18.8</v>
          </cell>
          <cell r="E98">
            <v>6</v>
          </cell>
          <cell r="F98">
            <v>239</v>
          </cell>
          <cell r="G98" t="str">
            <v>SBS-Grey</v>
          </cell>
        </row>
        <row r="99">
          <cell r="A99">
            <v>11301</v>
          </cell>
          <cell r="B99" t="str">
            <v>32 mm Dia UPVC Pipe Class ISO</v>
          </cell>
          <cell r="C99" t="str">
            <v>White</v>
          </cell>
          <cell r="D99" t="str">
            <v>1.6-1.8</v>
          </cell>
          <cell r="E99">
            <v>10</v>
          </cell>
          <cell r="F99">
            <v>1</v>
          </cell>
          <cell r="G99" t="str">
            <v>SWR-White</v>
          </cell>
        </row>
        <row r="100">
          <cell r="A100">
            <v>11302</v>
          </cell>
          <cell r="B100" t="str">
            <v>40 mm Dia UPVC Pipe Class ISO</v>
          </cell>
          <cell r="C100" t="str">
            <v>White</v>
          </cell>
          <cell r="D100" t="str">
            <v>1.9-2.1</v>
          </cell>
          <cell r="E100">
            <v>10</v>
          </cell>
          <cell r="F100">
            <v>1.3</v>
          </cell>
          <cell r="G100" t="str">
            <v>SWR-White</v>
          </cell>
        </row>
        <row r="101">
          <cell r="A101">
            <v>11303</v>
          </cell>
          <cell r="B101" t="str">
            <v>50mm Dia UPVC Pipe Class-ISO</v>
          </cell>
          <cell r="C101" t="str">
            <v>White</v>
          </cell>
          <cell r="D101" t="str">
            <v>2.2-2.4</v>
          </cell>
          <cell r="E101">
            <v>10</v>
          </cell>
          <cell r="F101">
            <v>2.2000000000000002</v>
          </cell>
          <cell r="G101" t="str">
            <v>SWR-White</v>
          </cell>
        </row>
        <row r="102">
          <cell r="A102">
            <v>13373</v>
          </cell>
          <cell r="B102" t="str">
            <v>50mm Dia UPVC Pipe (PN-10)Thickness 2.4-2.9mm</v>
          </cell>
          <cell r="C102" t="str">
            <v>White</v>
          </cell>
          <cell r="D102" t="str">
            <v>2.2-2.5</v>
          </cell>
          <cell r="E102">
            <v>10</v>
          </cell>
          <cell r="F102">
            <v>2.2000000000000002</v>
          </cell>
          <cell r="G102" t="str">
            <v>STD-White</v>
          </cell>
        </row>
        <row r="103">
          <cell r="A103">
            <v>11304</v>
          </cell>
          <cell r="B103" t="str">
            <v>80mm Dia Upvc Pipe SWR-0</v>
          </cell>
          <cell r="C103" t="str">
            <v>White</v>
          </cell>
          <cell r="D103" t="str">
            <v>1.8-2.0</v>
          </cell>
          <cell r="E103">
            <v>20</v>
          </cell>
          <cell r="F103">
            <v>5.8</v>
          </cell>
          <cell r="G103" t="str">
            <v>SWR-White</v>
          </cell>
        </row>
        <row r="104">
          <cell r="A104">
            <v>11306</v>
          </cell>
          <cell r="B104" t="str">
            <v>80mm Dia UPVC Pipe SWR-1</v>
          </cell>
          <cell r="C104" t="str">
            <v>White</v>
          </cell>
          <cell r="D104" t="str">
            <v>2.9-3.2</v>
          </cell>
          <cell r="E104">
            <v>20</v>
          </cell>
          <cell r="F104">
            <v>8</v>
          </cell>
          <cell r="G104" t="str">
            <v>SWR-White</v>
          </cell>
        </row>
        <row r="105">
          <cell r="A105">
            <v>12537</v>
          </cell>
          <cell r="B105" t="str">
            <v>80mm Dia Upvc Pipe SWR-Special (White)</v>
          </cell>
          <cell r="C105" t="str">
            <v>White</v>
          </cell>
          <cell r="D105" t="str">
            <v>1.6-1.8</v>
          </cell>
          <cell r="E105">
            <v>20</v>
          </cell>
          <cell r="F105">
            <v>5.4</v>
          </cell>
          <cell r="G105" t="str">
            <v>SWR-White</v>
          </cell>
        </row>
        <row r="106">
          <cell r="A106">
            <v>12538</v>
          </cell>
          <cell r="B106" t="str">
            <v>80mm Dia Upvc Pipe SWR-Special (Grey)</v>
          </cell>
          <cell r="C106" t="str">
            <v>Grey</v>
          </cell>
          <cell r="D106" t="str">
            <v>1.6-1.8</v>
          </cell>
          <cell r="E106">
            <v>20</v>
          </cell>
          <cell r="F106">
            <v>5.4</v>
          </cell>
          <cell r="G106" t="str">
            <v>SWR-Grey</v>
          </cell>
        </row>
        <row r="107">
          <cell r="A107">
            <v>11308</v>
          </cell>
          <cell r="B107" t="str">
            <v>80mm Dia Upvc Pipe SWR Economy</v>
          </cell>
          <cell r="C107" t="str">
            <v>White</v>
          </cell>
          <cell r="D107" t="str">
            <v>1.5-1.7</v>
          </cell>
          <cell r="E107">
            <v>20</v>
          </cell>
          <cell r="F107">
            <v>4.7</v>
          </cell>
          <cell r="G107" t="str">
            <v>SWR-White</v>
          </cell>
        </row>
        <row r="108">
          <cell r="A108">
            <v>11309</v>
          </cell>
          <cell r="B108" t="str">
            <v>110mm Dia UPVC Pipe ISO-2</v>
          </cell>
          <cell r="C108" t="str">
            <v>White</v>
          </cell>
          <cell r="D108" t="str">
            <v>2.8-3.0</v>
          </cell>
          <cell r="E108">
            <v>20</v>
          </cell>
          <cell r="F108">
            <v>11.3</v>
          </cell>
          <cell r="G108" t="str">
            <v>SWR-White</v>
          </cell>
        </row>
        <row r="109">
          <cell r="A109">
            <v>11311</v>
          </cell>
          <cell r="B109" t="str">
            <v>110mm Dia UPVC Pipe ISO-3</v>
          </cell>
          <cell r="C109" t="str">
            <v>White</v>
          </cell>
          <cell r="D109" t="str">
            <v>3.0-3.2</v>
          </cell>
          <cell r="E109">
            <v>20</v>
          </cell>
          <cell r="F109">
            <v>12.3</v>
          </cell>
          <cell r="G109" t="str">
            <v>SWR-White</v>
          </cell>
        </row>
        <row r="110">
          <cell r="A110">
            <v>11321</v>
          </cell>
          <cell r="B110" t="str">
            <v>110 mm Dia UPVC Pipe SWR-1</v>
          </cell>
          <cell r="C110" t="str">
            <v>White</v>
          </cell>
          <cell r="D110" t="str">
            <v>2.6-2.8</v>
          </cell>
          <cell r="E110">
            <v>20</v>
          </cell>
          <cell r="F110">
            <v>10.4</v>
          </cell>
          <cell r="G110" t="str">
            <v>SWR-White</v>
          </cell>
        </row>
        <row r="111">
          <cell r="A111">
            <v>11319</v>
          </cell>
          <cell r="B111" t="str">
            <v>110mm  Dia Upvc Pipe SWR-1 Special (Gray)</v>
          </cell>
          <cell r="C111" t="str">
            <v>Grey</v>
          </cell>
          <cell r="D111" t="str">
            <v>2.6-2.8</v>
          </cell>
          <cell r="E111">
            <v>20</v>
          </cell>
          <cell r="F111">
            <v>10.199999999999999</v>
          </cell>
          <cell r="G111" t="str">
            <v>SWR-Grey</v>
          </cell>
        </row>
        <row r="112">
          <cell r="A112">
            <v>11317</v>
          </cell>
          <cell r="B112" t="str">
            <v>110mm Dia Upvc Pipe SWR-1 Special (White)</v>
          </cell>
          <cell r="C112" t="str">
            <v>White</v>
          </cell>
          <cell r="D112" t="str">
            <v>2.6-2.8</v>
          </cell>
          <cell r="E112">
            <v>20</v>
          </cell>
          <cell r="F112">
            <v>10.199999999999999</v>
          </cell>
          <cell r="G112" t="str">
            <v>SWR-White</v>
          </cell>
        </row>
        <row r="113">
          <cell r="A113">
            <v>11316</v>
          </cell>
          <cell r="B113" t="str">
            <v>110mm Dia Upvc Pipe SWR-1 Smart</v>
          </cell>
          <cell r="C113" t="str">
            <v>White</v>
          </cell>
          <cell r="D113" t="str">
            <v>2.4-2.6</v>
          </cell>
          <cell r="E113">
            <v>20</v>
          </cell>
          <cell r="F113">
            <v>9.6999999999999993</v>
          </cell>
          <cell r="G113" t="str">
            <v>SWR-White</v>
          </cell>
        </row>
        <row r="114">
          <cell r="A114">
            <v>11328</v>
          </cell>
          <cell r="B114" t="str">
            <v>110mm Dia Upvc Pipe SWR-4 (White)</v>
          </cell>
          <cell r="C114" t="str">
            <v>White</v>
          </cell>
          <cell r="D114" t="str">
            <v>4.0-4.4</v>
          </cell>
          <cell r="E114">
            <v>20</v>
          </cell>
          <cell r="F114">
            <v>16.5</v>
          </cell>
          <cell r="G114" t="str">
            <v>SWR-White</v>
          </cell>
        </row>
        <row r="115">
          <cell r="A115">
            <v>11313</v>
          </cell>
          <cell r="B115" t="str">
            <v>110 mm Dia UPVC Pipe Class SWR Economy</v>
          </cell>
          <cell r="C115" t="str">
            <v>White</v>
          </cell>
          <cell r="D115" t="str">
            <v>1.5-1.6</v>
          </cell>
          <cell r="E115">
            <v>20</v>
          </cell>
          <cell r="F115">
            <v>6.6</v>
          </cell>
          <cell r="G115" t="str">
            <v>SWR-White</v>
          </cell>
        </row>
        <row r="116">
          <cell r="A116" t="e">
            <v>#N/A</v>
          </cell>
          <cell r="B116" t="str">
            <v>110 mm Dia UPVC Pipe Class SWR Economy (Gray)</v>
          </cell>
          <cell r="C116" t="str">
            <v>Grey</v>
          </cell>
          <cell r="D116" t="str">
            <v>1.5-1.6</v>
          </cell>
          <cell r="E116">
            <v>20</v>
          </cell>
          <cell r="F116">
            <v>6.4</v>
          </cell>
          <cell r="G116" t="str">
            <v>SWR-Grey</v>
          </cell>
        </row>
        <row r="117">
          <cell r="A117">
            <v>11314</v>
          </cell>
          <cell r="B117" t="str">
            <v>110 mm Dia UPVC Pipe  SWR Special</v>
          </cell>
          <cell r="C117" t="str">
            <v>White</v>
          </cell>
          <cell r="D117" t="str">
            <v>1.8-2.1</v>
          </cell>
          <cell r="E117">
            <v>20</v>
          </cell>
          <cell r="F117">
            <v>7.6</v>
          </cell>
          <cell r="G117" t="str">
            <v>SWR-White</v>
          </cell>
        </row>
        <row r="118">
          <cell r="A118">
            <v>11315</v>
          </cell>
          <cell r="B118" t="str">
            <v>110mm Dia Upvc SWR (Smart)</v>
          </cell>
          <cell r="C118" t="str">
            <v>White</v>
          </cell>
          <cell r="D118" t="str">
            <v>2.3-2.5</v>
          </cell>
          <cell r="E118">
            <v>20</v>
          </cell>
          <cell r="F118">
            <v>9.5</v>
          </cell>
          <cell r="G118" t="str">
            <v>SWR-White</v>
          </cell>
        </row>
        <row r="119">
          <cell r="A119">
            <v>11323</v>
          </cell>
          <cell r="B119" t="str">
            <v>110 mm Dia UPVC Pipe SWR-2</v>
          </cell>
          <cell r="C119" t="str">
            <v>White</v>
          </cell>
          <cell r="D119" t="str">
            <v>2.9-3.2</v>
          </cell>
          <cell r="E119">
            <v>20</v>
          </cell>
          <cell r="F119">
            <v>11.85</v>
          </cell>
          <cell r="G119" t="str">
            <v>SWR-White</v>
          </cell>
        </row>
        <row r="120">
          <cell r="A120">
            <v>11325</v>
          </cell>
          <cell r="B120" t="str">
            <v>110 mm Dia UPVC Pipe SWR-3</v>
          </cell>
          <cell r="C120" t="str">
            <v>White</v>
          </cell>
          <cell r="D120" t="str">
            <v>3.2-3.4</v>
          </cell>
          <cell r="E120">
            <v>20</v>
          </cell>
          <cell r="F120">
            <v>12.9</v>
          </cell>
          <cell r="G120" t="str">
            <v>SWR-White</v>
          </cell>
        </row>
        <row r="121">
          <cell r="A121">
            <v>12934</v>
          </cell>
          <cell r="B121" t="str">
            <v>110 mm Dia Upvc Pipe SWR-3 SPL</v>
          </cell>
          <cell r="C121" t="str">
            <v>White</v>
          </cell>
          <cell r="D121" t="str">
            <v>3.2-3.4</v>
          </cell>
          <cell r="E121">
            <v>20</v>
          </cell>
          <cell r="F121">
            <v>12.7</v>
          </cell>
          <cell r="G121" t="str">
            <v>SWR-White</v>
          </cell>
        </row>
        <row r="122">
          <cell r="A122">
            <v>11329</v>
          </cell>
          <cell r="B122" t="str">
            <v>110mm Dia Upvc PN-8 Pipe</v>
          </cell>
          <cell r="C122" t="str">
            <v>White</v>
          </cell>
          <cell r="D122" t="str">
            <v>3.4-4.0</v>
          </cell>
          <cell r="E122">
            <v>20</v>
          </cell>
          <cell r="F122">
            <v>12.6</v>
          </cell>
          <cell r="G122" t="str">
            <v>STD-White</v>
          </cell>
        </row>
        <row r="123">
          <cell r="A123">
            <v>12155</v>
          </cell>
          <cell r="B123" t="str">
            <v>110mm Dia Upvc Pipe SWR-0</v>
          </cell>
          <cell r="C123" t="str">
            <v>White</v>
          </cell>
          <cell r="D123" t="str">
            <v>2.3-2.5</v>
          </cell>
          <cell r="E123">
            <v>20</v>
          </cell>
          <cell r="F123">
            <v>9.5</v>
          </cell>
          <cell r="G123" t="str">
            <v>SWR-White</v>
          </cell>
        </row>
        <row r="124">
          <cell r="A124">
            <v>12712</v>
          </cell>
          <cell r="B124" t="str">
            <v>110 mm Dia Upvc Pipe (PN-10) Thick-4.20-4.90</v>
          </cell>
          <cell r="C124" t="str">
            <v>White</v>
          </cell>
          <cell r="D124" t="str">
            <v>4.2-4.9</v>
          </cell>
          <cell r="E124">
            <v>20</v>
          </cell>
          <cell r="F124">
            <v>14.8</v>
          </cell>
          <cell r="G124" t="str">
            <v>STD-White</v>
          </cell>
        </row>
        <row r="125">
          <cell r="A125">
            <v>13259</v>
          </cell>
          <cell r="B125" t="str">
            <v>110mm Dia uPVC pipe PN-16</v>
          </cell>
          <cell r="C125" t="str">
            <v>White</v>
          </cell>
          <cell r="D125">
            <v>0</v>
          </cell>
          <cell r="E125">
            <v>20</v>
          </cell>
          <cell r="F125">
            <v>0</v>
          </cell>
          <cell r="G125" t="str">
            <v>STD-White</v>
          </cell>
        </row>
        <row r="126">
          <cell r="A126">
            <v>11333</v>
          </cell>
          <cell r="B126" t="str">
            <v>140 mm Dia Pipe - Economy</v>
          </cell>
          <cell r="C126" t="str">
            <v>White</v>
          </cell>
          <cell r="D126" t="str">
            <v>2.9-3.3</v>
          </cell>
          <cell r="E126">
            <v>20</v>
          </cell>
          <cell r="F126">
            <v>15</v>
          </cell>
          <cell r="G126" t="str">
            <v>SWR-White</v>
          </cell>
        </row>
        <row r="127">
          <cell r="A127">
            <v>13374</v>
          </cell>
          <cell r="B127" t="str">
            <v>160mm Dia UPVC Pipe (PN-16) Thickness 9.5-11mm</v>
          </cell>
          <cell r="C127" t="str">
            <v>White</v>
          </cell>
          <cell r="D127" t="str">
            <v>9.5-11</v>
          </cell>
          <cell r="E127">
            <v>20</v>
          </cell>
          <cell r="F127">
            <v>52.1</v>
          </cell>
          <cell r="G127" t="str">
            <v>SWR-White</v>
          </cell>
        </row>
        <row r="128">
          <cell r="A128">
            <v>13259</v>
          </cell>
          <cell r="B128" t="str">
            <v>160 mm Dia Pipe (PN-16)</v>
          </cell>
          <cell r="C128" t="str">
            <v>White</v>
          </cell>
          <cell r="D128">
            <v>0</v>
          </cell>
          <cell r="E128">
            <v>20</v>
          </cell>
          <cell r="F128">
            <v>0</v>
          </cell>
          <cell r="G128" t="str">
            <v>STD-White</v>
          </cell>
        </row>
        <row r="129">
          <cell r="A129" t="e">
            <v>#N/A</v>
          </cell>
          <cell r="B129" t="str">
            <v>160 mm Dia Pipe (PN-10)</v>
          </cell>
          <cell r="C129" t="str">
            <v>White</v>
          </cell>
          <cell r="D129" t="str">
            <v>6.2-7.1</v>
          </cell>
          <cell r="E129">
            <v>20</v>
          </cell>
          <cell r="F129">
            <v>32.200000000000003</v>
          </cell>
          <cell r="G129" t="str">
            <v>STD-White</v>
          </cell>
        </row>
        <row r="130">
          <cell r="A130">
            <v>11336</v>
          </cell>
          <cell r="B130" t="str">
            <v>160mm Dia UPVC Pipe ISO (R) (Thickness 4.5-4.6 6mm)</v>
          </cell>
          <cell r="C130" t="str">
            <v>White</v>
          </cell>
          <cell r="D130" t="str">
            <v>4.5-4.6</v>
          </cell>
          <cell r="E130">
            <v>20</v>
          </cell>
          <cell r="F130">
            <v>25.7</v>
          </cell>
          <cell r="G130" t="str">
            <v>SWR-White</v>
          </cell>
        </row>
        <row r="131">
          <cell r="A131">
            <v>11335</v>
          </cell>
          <cell r="B131" t="str">
            <v>160mm Dia Upvc PN-8 Pipe</v>
          </cell>
          <cell r="C131" t="str">
            <v>White</v>
          </cell>
          <cell r="D131" t="str">
            <v>5.0-5.2</v>
          </cell>
          <cell r="E131">
            <v>20</v>
          </cell>
          <cell r="F131">
            <v>26.6</v>
          </cell>
          <cell r="G131" t="str">
            <v>STD-White</v>
          </cell>
        </row>
        <row r="132">
          <cell r="A132">
            <v>11341</v>
          </cell>
          <cell r="B132" t="str">
            <v>160mm  Dia PVC Pipe Class SWR-1</v>
          </cell>
          <cell r="C132" t="str">
            <v>White</v>
          </cell>
          <cell r="D132" t="str">
            <v>3.8-4.1</v>
          </cell>
          <cell r="E132">
            <v>20</v>
          </cell>
          <cell r="F132">
            <v>22.3</v>
          </cell>
          <cell r="G132" t="str">
            <v>SWR-White</v>
          </cell>
        </row>
        <row r="133">
          <cell r="A133">
            <v>11431</v>
          </cell>
          <cell r="B133" t="str">
            <v>Thick 4.5   160mm  Dia PVC Pipe Class SWR-2</v>
          </cell>
          <cell r="C133" t="str">
            <v>White</v>
          </cell>
          <cell r="D133" t="str">
            <v>4.3-4.5</v>
          </cell>
          <cell r="E133">
            <v>20</v>
          </cell>
          <cell r="F133">
            <v>25.3</v>
          </cell>
          <cell r="G133" t="str">
            <v>SWR-White</v>
          </cell>
        </row>
        <row r="134">
          <cell r="A134">
            <v>11339</v>
          </cell>
          <cell r="B134" t="str">
            <v>160mm Dia UPVC Pipe Class SWR-0</v>
          </cell>
          <cell r="C134" t="str">
            <v>White</v>
          </cell>
          <cell r="D134" t="str">
            <v>3.1-3.3</v>
          </cell>
          <cell r="E134">
            <v>20</v>
          </cell>
          <cell r="F134">
            <v>18.2</v>
          </cell>
          <cell r="G134" t="str">
            <v>Economy- White</v>
          </cell>
        </row>
        <row r="135">
          <cell r="A135">
            <v>11338</v>
          </cell>
          <cell r="B135" t="str">
            <v>160 mm UPVC Pipe SWR- Special</v>
          </cell>
          <cell r="C135" t="str">
            <v>White</v>
          </cell>
          <cell r="D135" t="str">
            <v>2.6-2.8</v>
          </cell>
          <cell r="E135">
            <v>20</v>
          </cell>
          <cell r="F135">
            <v>16.2</v>
          </cell>
          <cell r="G135" t="str">
            <v>Economy- White</v>
          </cell>
        </row>
        <row r="136">
          <cell r="A136">
            <v>11278</v>
          </cell>
          <cell r="B136" t="str">
            <v>160 mm Dia SWR-0 (SP)</v>
          </cell>
          <cell r="C136" t="str">
            <v>Grey</v>
          </cell>
          <cell r="D136" t="str">
            <v>3.0-3.2</v>
          </cell>
          <cell r="E136">
            <v>20</v>
          </cell>
          <cell r="F136">
            <v>17.5</v>
          </cell>
          <cell r="G136" t="str">
            <v>SWR-Grey</v>
          </cell>
        </row>
        <row r="137">
          <cell r="A137">
            <v>11358</v>
          </cell>
          <cell r="B137" t="str">
            <v>160 mm Dia Upvc Pipe SWR-SP</v>
          </cell>
          <cell r="C137" t="str">
            <v>Grey</v>
          </cell>
          <cell r="D137" t="str">
            <v>2.7-3.0</v>
          </cell>
          <cell r="E137">
            <v>20</v>
          </cell>
          <cell r="F137">
            <v>16</v>
          </cell>
          <cell r="G137" t="str">
            <v>SWR-Grey</v>
          </cell>
        </row>
        <row r="138">
          <cell r="A138">
            <v>11337</v>
          </cell>
          <cell r="B138" t="str">
            <v>160 mm Dia Upvc Pipe SWR -Economy</v>
          </cell>
          <cell r="C138" t="str">
            <v>White</v>
          </cell>
          <cell r="D138" t="str">
            <v>2.5-2.7</v>
          </cell>
          <cell r="E138">
            <v>20</v>
          </cell>
          <cell r="F138">
            <v>16</v>
          </cell>
          <cell r="G138" t="str">
            <v>Economy- White</v>
          </cell>
        </row>
        <row r="139">
          <cell r="A139" t="e">
            <v>#N/A</v>
          </cell>
          <cell r="B139" t="str">
            <v>160 mm Dia Upvc Pipe SWR-Special (Gray)</v>
          </cell>
          <cell r="C139" t="str">
            <v>Grey</v>
          </cell>
          <cell r="D139" t="str">
            <v>2.6-2.8</v>
          </cell>
          <cell r="E139">
            <v>20</v>
          </cell>
          <cell r="F139">
            <v>16</v>
          </cell>
          <cell r="G139" t="str">
            <v>SWR-Grey</v>
          </cell>
        </row>
        <row r="140">
          <cell r="A140">
            <v>11348</v>
          </cell>
          <cell r="B140" t="str">
            <v>200mm Upvc SWR Pipe (PN-8)</v>
          </cell>
          <cell r="C140" t="str">
            <v>White</v>
          </cell>
          <cell r="D140" t="str">
            <v>6.2-7.9</v>
          </cell>
          <cell r="E140">
            <v>20</v>
          </cell>
          <cell r="F140">
            <v>39.200000000000003</v>
          </cell>
          <cell r="G140" t="str">
            <v>STD-White</v>
          </cell>
        </row>
        <row r="141">
          <cell r="A141">
            <v>11345</v>
          </cell>
          <cell r="B141" t="str">
            <v>200 MM Dia UPVC Pipe SWR-1</v>
          </cell>
          <cell r="C141" t="str">
            <v>White</v>
          </cell>
          <cell r="D141" t="str">
            <v>3.8-4.2</v>
          </cell>
          <cell r="E141">
            <v>20</v>
          </cell>
          <cell r="F141">
            <v>29</v>
          </cell>
          <cell r="G141" t="str">
            <v>SWR-White</v>
          </cell>
        </row>
        <row r="142">
          <cell r="A142">
            <v>11346</v>
          </cell>
          <cell r="B142" t="str">
            <v>200 MM Dia UPVC Pipe SWR-2</v>
          </cell>
          <cell r="C142" t="str">
            <v>White</v>
          </cell>
          <cell r="D142" t="str">
            <v>4.8-5.2</v>
          </cell>
          <cell r="E142">
            <v>20</v>
          </cell>
          <cell r="F142">
            <v>35.200000000000003</v>
          </cell>
          <cell r="G142" t="str">
            <v>SWR-White</v>
          </cell>
        </row>
        <row r="143">
          <cell r="A143" t="e">
            <v>#N/A</v>
          </cell>
          <cell r="B143" t="str">
            <v>200 mm Dia Upvc Pipe PN-10</v>
          </cell>
          <cell r="C143" t="str">
            <v>White</v>
          </cell>
          <cell r="D143" t="str">
            <v>7.7-8.7</v>
          </cell>
          <cell r="E143">
            <v>20</v>
          </cell>
          <cell r="F143">
            <v>49.5</v>
          </cell>
          <cell r="G143" t="str">
            <v>STD-White</v>
          </cell>
        </row>
        <row r="144">
          <cell r="A144">
            <v>11347</v>
          </cell>
          <cell r="B144" t="str">
            <v>200 mm Dia Upvc Pipe -Spl (2.7)</v>
          </cell>
          <cell r="C144" t="str">
            <v>White</v>
          </cell>
          <cell r="D144" t="str">
            <v>2.6-2.8</v>
          </cell>
          <cell r="E144">
            <v>20</v>
          </cell>
          <cell r="F144">
            <v>19.2</v>
          </cell>
          <cell r="G144" t="str">
            <v>SWR-Grey</v>
          </cell>
        </row>
        <row r="145">
          <cell r="A145" t="e">
            <v>#N/A</v>
          </cell>
          <cell r="B145" t="str">
            <v>225 mm Dia Pipe (PN-8)</v>
          </cell>
          <cell r="C145" t="str">
            <v>White</v>
          </cell>
          <cell r="D145" t="str">
            <v>6.9-7.8</v>
          </cell>
          <cell r="E145">
            <v>20</v>
          </cell>
          <cell r="F145">
            <v>47.5</v>
          </cell>
          <cell r="G145" t="str">
            <v>STD-Grey</v>
          </cell>
        </row>
        <row r="146">
          <cell r="A146" t="e">
            <v>#N/A</v>
          </cell>
          <cell r="B146" t="str">
            <v>225 mm Dia Pipe (PN-10),Thick-8.60-9.90</v>
          </cell>
          <cell r="C146" t="str">
            <v>Grey</v>
          </cell>
          <cell r="D146" t="str">
            <v>8.6-9.8</v>
          </cell>
          <cell r="E146">
            <v>20</v>
          </cell>
          <cell r="F146">
            <v>63</v>
          </cell>
          <cell r="G146" t="str">
            <v>STD-White</v>
          </cell>
        </row>
        <row r="147">
          <cell r="A147">
            <v>11350</v>
          </cell>
          <cell r="B147" t="str">
            <v>250 mm Dia Upvc Pipe SWR-1 (3.1 Gray)</v>
          </cell>
          <cell r="C147" t="str">
            <v>Grey</v>
          </cell>
          <cell r="D147" t="str">
            <v>3.1-3.3</v>
          </cell>
          <cell r="E147">
            <v>20</v>
          </cell>
          <cell r="F147">
            <v>28</v>
          </cell>
          <cell r="G147" t="str">
            <v>Economy- Grey</v>
          </cell>
        </row>
        <row r="148">
          <cell r="A148">
            <v>11351</v>
          </cell>
          <cell r="B148" t="str">
            <v>250 mm Dia Upvc Pipe SWR-2 (3.9 White)</v>
          </cell>
          <cell r="C148" t="str">
            <v>Grey</v>
          </cell>
          <cell r="D148" t="str">
            <v>3.9-4.1</v>
          </cell>
          <cell r="E148">
            <v>20</v>
          </cell>
          <cell r="F148">
            <v>35</v>
          </cell>
          <cell r="G148" t="str">
            <v>Economy- Grey</v>
          </cell>
        </row>
        <row r="149">
          <cell r="A149">
            <v>12477</v>
          </cell>
          <cell r="B149" t="str">
            <v>250mm Dia UPVC Cassing Pipe (Grey)</v>
          </cell>
          <cell r="C149" t="str">
            <v>Grey</v>
          </cell>
          <cell r="D149" t="str">
            <v>4.8-5.2</v>
          </cell>
          <cell r="E149">
            <v>20</v>
          </cell>
          <cell r="F149">
            <v>38.5</v>
          </cell>
          <cell r="G149" t="str">
            <v>SWR-Grey</v>
          </cell>
        </row>
        <row r="150">
          <cell r="A150">
            <v>12500</v>
          </cell>
          <cell r="B150" t="str">
            <v>280 mm Dia Upvc Pipe SWR 1</v>
          </cell>
          <cell r="C150" t="str">
            <v>White</v>
          </cell>
          <cell r="D150" t="str">
            <v>3.5-3.8</v>
          </cell>
          <cell r="E150">
            <v>20</v>
          </cell>
          <cell r="F150">
            <v>35.5</v>
          </cell>
          <cell r="G150" t="str">
            <v>SWR-Grey</v>
          </cell>
        </row>
        <row r="151">
          <cell r="A151">
            <v>12226</v>
          </cell>
          <cell r="B151" t="str">
            <v>315mm Dia Upvc Pipe(4.9 Thickness)</v>
          </cell>
          <cell r="C151" t="str">
            <v>Grey</v>
          </cell>
          <cell r="D151" t="str">
            <v>4.9-5.3</v>
          </cell>
          <cell r="E151">
            <v>6</v>
          </cell>
          <cell r="F151">
            <v>55.5</v>
          </cell>
          <cell r="G151" t="str">
            <v>Tander</v>
          </cell>
        </row>
        <row r="152">
          <cell r="A152">
            <v>11354</v>
          </cell>
          <cell r="B152" t="str">
            <v>315mm Dia Upvc Pipe (Ft) (4.9 Thick)</v>
          </cell>
          <cell r="C152" t="str">
            <v>Grey</v>
          </cell>
          <cell r="D152" t="str">
            <v>4.9-5.3</v>
          </cell>
          <cell r="E152">
            <v>6</v>
          </cell>
          <cell r="F152">
            <v>54</v>
          </cell>
          <cell r="G152" t="str">
            <v>Economy- Grey</v>
          </cell>
        </row>
        <row r="153">
          <cell r="A153">
            <v>11357</v>
          </cell>
          <cell r="B153" t="str">
            <v>1.5 Inch Dia Robo Filter</v>
          </cell>
          <cell r="C153" t="str">
            <v>Grey</v>
          </cell>
          <cell r="D153" t="str">
            <v>2.5-3.0</v>
          </cell>
          <cell r="E153">
            <v>6.5</v>
          </cell>
          <cell r="F153">
            <v>1.45</v>
          </cell>
          <cell r="G153" t="str">
            <v xml:space="preserve">BS-Grey </v>
          </cell>
        </row>
        <row r="154">
          <cell r="A154">
            <v>11708</v>
          </cell>
          <cell r="B154" t="str">
            <v>1.5 Inch Dia Class D Filter (Gray)</v>
          </cell>
          <cell r="C154" t="str">
            <v>Grey</v>
          </cell>
          <cell r="D154" t="str">
            <v>2.5-3.0</v>
          </cell>
          <cell r="E154">
            <v>10</v>
          </cell>
          <cell r="F154">
            <v>1.9</v>
          </cell>
          <cell r="G154" t="str">
            <v>SBS-Grey</v>
          </cell>
        </row>
        <row r="155">
          <cell r="A155">
            <v>12951</v>
          </cell>
          <cell r="B155" t="str">
            <v>1.5 Inch Dia Robo Filter</v>
          </cell>
          <cell r="C155" t="str">
            <v>Grey</v>
          </cell>
          <cell r="D155">
            <v>0</v>
          </cell>
          <cell r="E155">
            <v>0</v>
          </cell>
          <cell r="F155">
            <v>1.45</v>
          </cell>
          <cell r="G155" t="str">
            <v>SBS-Grey</v>
          </cell>
        </row>
        <row r="156">
          <cell r="A156">
            <v>13284</v>
          </cell>
          <cell r="B156" t="str">
            <v>1.5 Inch Dia Class-E Filter(Rib)</v>
          </cell>
          <cell r="C156" t="str">
            <v>Grey</v>
          </cell>
          <cell r="D156">
            <v>0</v>
          </cell>
          <cell r="E156">
            <v>10</v>
          </cell>
          <cell r="F156">
            <v>2.5</v>
          </cell>
          <cell r="G156" t="str">
            <v>SBS-Grey</v>
          </cell>
        </row>
        <row r="157">
          <cell r="A157">
            <v>11356</v>
          </cell>
          <cell r="B157" t="str">
            <v>1.5 Inch Dia Upvc Filter DPHE 10 No</v>
          </cell>
          <cell r="C157" t="str">
            <v>Grey</v>
          </cell>
          <cell r="D157" t="str">
            <v>3.0-3.3</v>
          </cell>
          <cell r="E157">
            <v>10</v>
          </cell>
          <cell r="F157">
            <v>2.5</v>
          </cell>
          <cell r="G157" t="str">
            <v>SBS-Grey</v>
          </cell>
        </row>
        <row r="158">
          <cell r="A158">
            <v>12687</v>
          </cell>
          <cell r="B158" t="str">
            <v>1.5 inch Dia Upvc Filter DPHE 8 No</v>
          </cell>
          <cell r="C158" t="str">
            <v>Grey</v>
          </cell>
          <cell r="D158" t="str">
            <v>2.5-3.0</v>
          </cell>
          <cell r="E158">
            <v>10</v>
          </cell>
          <cell r="F158">
            <v>2.1</v>
          </cell>
          <cell r="G158" t="str">
            <v>SBS-Grey</v>
          </cell>
        </row>
        <row r="159">
          <cell r="A159">
            <v>13006</v>
          </cell>
          <cell r="B159" t="str">
            <v>1.5 inch Dia Upvc Filter DPHE 8 No (Red)</v>
          </cell>
          <cell r="C159" t="str">
            <v>Red</v>
          </cell>
          <cell r="D159" t="str">
            <v>2.5-3.0</v>
          </cell>
          <cell r="E159">
            <v>10</v>
          </cell>
          <cell r="F159">
            <v>2.1</v>
          </cell>
          <cell r="G159" t="str">
            <v>SBS-Red</v>
          </cell>
        </row>
        <row r="160">
          <cell r="A160">
            <v>11115</v>
          </cell>
          <cell r="B160" t="str">
            <v>1.5 Inch Dia Upvc Pipe Class-D Filter (8 Feet Length)</v>
          </cell>
          <cell r="C160" t="str">
            <v>White</v>
          </cell>
          <cell r="D160" t="str">
            <v>2.5-3.0</v>
          </cell>
          <cell r="E160">
            <v>8</v>
          </cell>
          <cell r="F160">
            <v>1.48</v>
          </cell>
          <cell r="G160" t="str">
            <v>SBS-Grey</v>
          </cell>
        </row>
        <row r="161">
          <cell r="A161">
            <v>11114</v>
          </cell>
          <cell r="B161" t="str">
            <v>1.5 Inch Dia UPVC Pipe Filter-Class-D (White)</v>
          </cell>
          <cell r="C161" t="str">
            <v>White</v>
          </cell>
          <cell r="D161" t="str">
            <v>2.5-3.0</v>
          </cell>
          <cell r="E161">
            <v>10</v>
          </cell>
          <cell r="F161">
            <v>1.9</v>
          </cell>
          <cell r="G161" t="str">
            <v>SBS-White</v>
          </cell>
        </row>
        <row r="162">
          <cell r="A162">
            <v>12842</v>
          </cell>
          <cell r="B162" t="str">
            <v>1.5 inch Dia Upvc Filter Class E</v>
          </cell>
          <cell r="C162" t="str">
            <v>Grey</v>
          </cell>
          <cell r="D162" t="str">
            <v>3.1-3.7</v>
          </cell>
          <cell r="E162">
            <v>10</v>
          </cell>
          <cell r="F162">
            <v>2.4700000000000002</v>
          </cell>
          <cell r="G162" t="str">
            <v>SBS-Grey</v>
          </cell>
        </row>
        <row r="163">
          <cell r="A163">
            <v>11119</v>
          </cell>
          <cell r="B163" t="str">
            <v>1.5 Inch Dia UPVC Filter SPL (6 ft Length)</v>
          </cell>
          <cell r="C163" t="str">
            <v>Pink</v>
          </cell>
          <cell r="D163" t="str">
            <v>1.8-2.0</v>
          </cell>
          <cell r="E163">
            <v>6</v>
          </cell>
          <cell r="F163">
            <v>0.95</v>
          </cell>
          <cell r="G163" t="str">
            <v>SBS-Pink</v>
          </cell>
        </row>
        <row r="164">
          <cell r="A164">
            <v>11118</v>
          </cell>
          <cell r="B164" t="str">
            <v>1.5 Inch Dia UPVC Filter SPL (8 ft Length)</v>
          </cell>
          <cell r="C164" t="str">
            <v>Pink</v>
          </cell>
          <cell r="D164" t="str">
            <v>1.8-2.0</v>
          </cell>
          <cell r="E164">
            <v>8</v>
          </cell>
          <cell r="F164">
            <v>1.3</v>
          </cell>
          <cell r="G164" t="str">
            <v>SBS-Pink</v>
          </cell>
        </row>
        <row r="165">
          <cell r="A165">
            <v>11117</v>
          </cell>
          <cell r="B165" t="str">
            <v>1.5 Inch Dia UPVC Fllter SPL (10 ft Length)</v>
          </cell>
          <cell r="C165" t="str">
            <v>Pink</v>
          </cell>
          <cell r="D165" t="str">
            <v>1.8-2.0</v>
          </cell>
          <cell r="E165">
            <v>10</v>
          </cell>
          <cell r="F165">
            <v>1.6</v>
          </cell>
          <cell r="G165" t="str">
            <v>SBS-Pink</v>
          </cell>
        </row>
        <row r="166">
          <cell r="A166">
            <v>11109</v>
          </cell>
          <cell r="B166" t="str">
            <v>1.5 Inch Dia Upvc Filter Economy (10 ft Length)</v>
          </cell>
          <cell r="C166" t="str">
            <v>Pink</v>
          </cell>
          <cell r="D166" t="str">
            <v>1.5-1.7</v>
          </cell>
          <cell r="E166">
            <v>10</v>
          </cell>
          <cell r="F166">
            <v>1.23</v>
          </cell>
          <cell r="G166" t="str">
            <v>SBS-Pink</v>
          </cell>
        </row>
        <row r="167">
          <cell r="A167">
            <v>11111</v>
          </cell>
          <cell r="B167" t="str">
            <v>1.5 Inch Dia Upvc Filter Economy (8 ft Length)</v>
          </cell>
          <cell r="C167" t="str">
            <v>Pink</v>
          </cell>
          <cell r="D167" t="str">
            <v>1.5-1.7</v>
          </cell>
          <cell r="E167">
            <v>8</v>
          </cell>
          <cell r="F167">
            <v>0.99</v>
          </cell>
          <cell r="G167" t="str">
            <v>SBS-Pink</v>
          </cell>
        </row>
        <row r="168">
          <cell r="A168">
            <v>11112</v>
          </cell>
          <cell r="B168" t="str">
            <v>1.5 Inch Dia Upvc Filter Economy (6 ft Length)</v>
          </cell>
          <cell r="C168" t="str">
            <v>Pink</v>
          </cell>
          <cell r="D168" t="str">
            <v>1.5-1.7</v>
          </cell>
          <cell r="E168">
            <v>6</v>
          </cell>
          <cell r="F168">
            <v>0.75</v>
          </cell>
          <cell r="G168" t="str">
            <v>SBS-Pink</v>
          </cell>
        </row>
        <row r="169">
          <cell r="A169">
            <v>12884</v>
          </cell>
          <cell r="B169" t="str">
            <v xml:space="preserve">1.5 Inch Dia UPVC Pipe Filter-Class-D </v>
          </cell>
          <cell r="C169" t="str">
            <v>Grey</v>
          </cell>
          <cell r="D169" t="str">
            <v>2.5-3.0</v>
          </cell>
          <cell r="E169">
            <v>10</v>
          </cell>
          <cell r="F169">
            <v>2</v>
          </cell>
          <cell r="G169" t="str">
            <v>SBS-Grey</v>
          </cell>
        </row>
        <row r="170">
          <cell r="A170">
            <v>11129</v>
          </cell>
          <cell r="B170" t="str">
            <v>2 Inch Dia UPVC Filter Class C</v>
          </cell>
          <cell r="C170" t="str">
            <v>Grey</v>
          </cell>
          <cell r="D170" t="str">
            <v>2.5-3.0</v>
          </cell>
          <cell r="E170">
            <v>10</v>
          </cell>
          <cell r="F170">
            <v>2.27</v>
          </cell>
          <cell r="G170" t="str">
            <v>SBS-Grey</v>
          </cell>
        </row>
        <row r="171">
          <cell r="A171">
            <v>11131</v>
          </cell>
          <cell r="B171" t="str">
            <v>2 Inch Dia Upvc Filter Class-D</v>
          </cell>
          <cell r="C171" t="str">
            <v>Grey</v>
          </cell>
          <cell r="D171" t="str">
            <v>3.1-3.7</v>
          </cell>
          <cell r="E171">
            <v>10</v>
          </cell>
          <cell r="F171">
            <v>2.75</v>
          </cell>
          <cell r="G171" t="str">
            <v>SBS-Grey</v>
          </cell>
        </row>
        <row r="172">
          <cell r="A172" t="e">
            <v>#N/A</v>
          </cell>
          <cell r="B172" t="str">
            <v>2 Inch Dia Upvc Filter Class-D Diamond</v>
          </cell>
          <cell r="C172" t="str">
            <v>Grey</v>
          </cell>
          <cell r="D172" t="str">
            <v>3.1-3.7</v>
          </cell>
          <cell r="E172">
            <v>10</v>
          </cell>
          <cell r="F172">
            <v>2.75</v>
          </cell>
          <cell r="G172" t="str">
            <v>SBS-Grey</v>
          </cell>
        </row>
        <row r="173">
          <cell r="A173">
            <v>11733</v>
          </cell>
          <cell r="B173" t="str">
            <v>2 Inch Dia UPVC Filter Class E</v>
          </cell>
          <cell r="C173" t="str">
            <v>Grey</v>
          </cell>
          <cell r="D173" t="str">
            <v>3.9-4.5</v>
          </cell>
          <cell r="E173">
            <v>10</v>
          </cell>
          <cell r="F173">
            <v>3.55</v>
          </cell>
          <cell r="G173" t="str">
            <v>SBS-Grey</v>
          </cell>
        </row>
        <row r="174">
          <cell r="A174">
            <v>12590</v>
          </cell>
          <cell r="B174" t="str">
            <v>2 Inch Dia Upvc Filter -Star</v>
          </cell>
          <cell r="C174" t="str">
            <v>Grey</v>
          </cell>
          <cell r="D174" t="str">
            <v>2.5*-3.0</v>
          </cell>
          <cell r="E174">
            <v>10</v>
          </cell>
          <cell r="F174">
            <v>2.73</v>
          </cell>
          <cell r="G174" t="str">
            <v>SWR-Grey</v>
          </cell>
        </row>
        <row r="175">
          <cell r="A175">
            <v>12956</v>
          </cell>
          <cell r="B175" t="str">
            <v>2 Inch Dia UPVC Filter Supper</v>
          </cell>
          <cell r="C175" t="str">
            <v>Grey</v>
          </cell>
          <cell r="D175">
            <v>0</v>
          </cell>
          <cell r="E175">
            <v>10</v>
          </cell>
          <cell r="F175">
            <v>2.5299999999999998</v>
          </cell>
          <cell r="G175" t="str">
            <v>SWR-Grey</v>
          </cell>
        </row>
        <row r="176">
          <cell r="A176" t="e">
            <v>#N/A</v>
          </cell>
          <cell r="B176" t="str">
            <v>2 Inch Dia UPVC Filter Class E Special</v>
          </cell>
          <cell r="C176" t="str">
            <v>Grey</v>
          </cell>
          <cell r="D176" t="str">
            <v>3.9-4.5</v>
          </cell>
          <cell r="E176">
            <v>10</v>
          </cell>
          <cell r="F176">
            <v>3.55</v>
          </cell>
          <cell r="G176" t="str">
            <v>SBS-Grey</v>
          </cell>
        </row>
        <row r="177">
          <cell r="A177" t="e">
            <v>#N/A</v>
          </cell>
          <cell r="B177" t="str">
            <v>2 Inch Dia Upvc Filter Class-D Special</v>
          </cell>
          <cell r="C177" t="str">
            <v>Grey</v>
          </cell>
          <cell r="D177" t="str">
            <v>3.1-3.7</v>
          </cell>
          <cell r="E177">
            <v>10</v>
          </cell>
          <cell r="F177">
            <v>2.75</v>
          </cell>
          <cell r="G177" t="str">
            <v>SBS-Grey</v>
          </cell>
        </row>
        <row r="178">
          <cell r="A178">
            <v>13191</v>
          </cell>
          <cell r="B178" t="str">
            <v>2 inch Dia Upvc Rib Filter Class D</v>
          </cell>
          <cell r="C178" t="str">
            <v>Grey</v>
          </cell>
          <cell r="D178" t="str">
            <v>3.1-3.7</v>
          </cell>
          <cell r="E178">
            <v>10</v>
          </cell>
          <cell r="F178">
            <v>2.8</v>
          </cell>
          <cell r="G178" t="str">
            <v>SBS-Grey</v>
          </cell>
        </row>
        <row r="179">
          <cell r="A179">
            <v>0</v>
          </cell>
          <cell r="B179" t="str">
            <v>2 Inch Dia UPVC Filter Class E Diamond</v>
          </cell>
          <cell r="C179" t="str">
            <v>Grey</v>
          </cell>
          <cell r="D179" t="str">
            <v>3.9-4.5</v>
          </cell>
          <cell r="E179">
            <v>10</v>
          </cell>
          <cell r="F179">
            <v>3.55</v>
          </cell>
          <cell r="G179" t="str">
            <v>SBS-Grey</v>
          </cell>
        </row>
        <row r="180">
          <cell r="A180">
            <v>11136</v>
          </cell>
          <cell r="B180" t="str">
            <v>3 Inch Dia UPVC Filter Class - B</v>
          </cell>
          <cell r="C180" t="str">
            <v>Grey</v>
          </cell>
          <cell r="D180" t="str">
            <v>2.9-3.4</v>
          </cell>
          <cell r="E180">
            <v>3</v>
          </cell>
          <cell r="F180">
            <v>3.9</v>
          </cell>
          <cell r="G180" t="str">
            <v>SBS-Grey</v>
          </cell>
        </row>
        <row r="181">
          <cell r="A181">
            <v>11138</v>
          </cell>
          <cell r="B181" t="str">
            <v>3 Inch Dia UPVC Filter Class - C</v>
          </cell>
          <cell r="C181" t="str">
            <v>Grey</v>
          </cell>
          <cell r="D181" t="str">
            <v>3.5-4.1</v>
          </cell>
          <cell r="E181">
            <v>3</v>
          </cell>
          <cell r="F181">
            <v>4.75</v>
          </cell>
          <cell r="G181" t="str">
            <v>SBS-Grey</v>
          </cell>
        </row>
        <row r="182">
          <cell r="A182">
            <v>12580</v>
          </cell>
          <cell r="B182" t="str">
            <v>3 Inc Dia Filter Class C-SPL</v>
          </cell>
          <cell r="C182" t="str">
            <v>Grey</v>
          </cell>
          <cell r="D182" t="str">
            <v>3.0-3.2</v>
          </cell>
          <cell r="E182">
            <v>3</v>
          </cell>
          <cell r="F182">
            <v>4.5</v>
          </cell>
          <cell r="G182" t="str">
            <v>Economy- Grey</v>
          </cell>
        </row>
        <row r="183">
          <cell r="A183">
            <v>11140</v>
          </cell>
          <cell r="B183" t="str">
            <v>3 Inch Dia UPVC Filter Class-D</v>
          </cell>
          <cell r="C183" t="str">
            <v>Grey</v>
          </cell>
          <cell r="D183" t="str">
            <v>4.6-5.3</v>
          </cell>
          <cell r="E183">
            <v>3</v>
          </cell>
          <cell r="F183">
            <v>5.9</v>
          </cell>
          <cell r="G183" t="str">
            <v>SBS-Grey</v>
          </cell>
        </row>
        <row r="184">
          <cell r="A184">
            <v>13206</v>
          </cell>
          <cell r="B184" t="str">
            <v>3 Inch Dia UPVC Filter Class-D Specieal</v>
          </cell>
          <cell r="C184" t="str">
            <v>Grey</v>
          </cell>
          <cell r="D184">
            <v>0</v>
          </cell>
          <cell r="E184">
            <v>3</v>
          </cell>
          <cell r="F184">
            <v>0</v>
          </cell>
          <cell r="G184" t="str">
            <v>SBS-Grey</v>
          </cell>
        </row>
        <row r="185">
          <cell r="A185">
            <v>12269</v>
          </cell>
          <cell r="B185" t="str">
            <v>3 Inch Dia Filter Class-E</v>
          </cell>
          <cell r="C185" t="str">
            <v>Grey</v>
          </cell>
          <cell r="D185" t="str">
            <v>5.7-6.6</v>
          </cell>
          <cell r="E185">
            <v>3</v>
          </cell>
          <cell r="F185">
            <v>8.25</v>
          </cell>
          <cell r="G185" t="str">
            <v>SBS-Grey</v>
          </cell>
        </row>
        <row r="186">
          <cell r="A186">
            <v>11134</v>
          </cell>
          <cell r="B186" t="str">
            <v>3 Inch Dia Upvc Pipe Filter-Star (2.7 Thickness)</v>
          </cell>
          <cell r="C186" t="str">
            <v>Grey</v>
          </cell>
          <cell r="D186" t="str">
            <v>2.6-2.9</v>
          </cell>
          <cell r="E186">
            <v>10</v>
          </cell>
          <cell r="F186">
            <v>4</v>
          </cell>
          <cell r="G186" t="str">
            <v>SWR-Grey</v>
          </cell>
        </row>
        <row r="187">
          <cell r="A187">
            <v>12971</v>
          </cell>
          <cell r="B187" t="str">
            <v>4 Inch Dia Upvc Pipe Class -D SPL Diamond Filter</v>
          </cell>
          <cell r="C187" t="str">
            <v>Grey</v>
          </cell>
          <cell r="D187" t="str">
            <v>6.0-6.9</v>
          </cell>
          <cell r="E187">
            <v>3</v>
          </cell>
          <cell r="F187">
            <v>10.199999999999999</v>
          </cell>
          <cell r="G187" t="str">
            <v xml:space="preserve">Three Layer </v>
          </cell>
        </row>
        <row r="188">
          <cell r="A188">
            <v>11148</v>
          </cell>
          <cell r="B188" t="str">
            <v>4 Inch Dia  Filter Pipe Class - C</v>
          </cell>
          <cell r="C188" t="str">
            <v>Grey</v>
          </cell>
          <cell r="D188" t="str">
            <v>4.5-5.2</v>
          </cell>
          <cell r="E188">
            <v>3</v>
          </cell>
          <cell r="F188">
            <v>7.65</v>
          </cell>
          <cell r="G188" t="str">
            <v>SBS-Grey</v>
          </cell>
        </row>
        <row r="189">
          <cell r="A189">
            <v>11203</v>
          </cell>
          <cell r="B189" t="str">
            <v>4 Inch Dia Class Filter -C SPL</v>
          </cell>
          <cell r="C189" t="str">
            <v>Grey</v>
          </cell>
          <cell r="D189" t="str">
            <v>4.5-5.2</v>
          </cell>
          <cell r="E189">
            <v>3</v>
          </cell>
          <cell r="F189">
            <v>8</v>
          </cell>
          <cell r="G189" t="str">
            <v xml:space="preserve">Three Layer </v>
          </cell>
        </row>
        <row r="190">
          <cell r="A190" t="str">
            <v>13239</v>
          </cell>
          <cell r="B190" t="str">
            <v>4 Inch Dia Class Filter -C SPL(4.50)</v>
          </cell>
          <cell r="C190" t="str">
            <v>Grey</v>
          </cell>
          <cell r="D190">
            <v>0</v>
          </cell>
          <cell r="E190">
            <v>3</v>
          </cell>
          <cell r="F190">
            <v>7.75</v>
          </cell>
          <cell r="G190" t="str">
            <v xml:space="preserve">Three Layer </v>
          </cell>
        </row>
        <row r="191">
          <cell r="A191">
            <v>11146</v>
          </cell>
          <cell r="B191" t="str">
            <v>4 Inch Dia UPVC Filter Class -B</v>
          </cell>
          <cell r="C191" t="str">
            <v>Grey</v>
          </cell>
          <cell r="D191" t="str">
            <v>3.4-4.0</v>
          </cell>
          <cell r="E191">
            <v>3</v>
          </cell>
          <cell r="F191">
            <v>5.9</v>
          </cell>
          <cell r="G191" t="str">
            <v>SBS-Grey</v>
          </cell>
        </row>
        <row r="192">
          <cell r="A192">
            <v>11150</v>
          </cell>
          <cell r="B192" t="str">
            <v>4 Inch Dia UPVC Filter Class - D</v>
          </cell>
          <cell r="C192" t="str">
            <v>Grey</v>
          </cell>
          <cell r="D192" t="str">
            <v>6.0-6.9</v>
          </cell>
          <cell r="E192">
            <v>3</v>
          </cell>
          <cell r="F192">
            <v>9.8000000000000007</v>
          </cell>
          <cell r="G192" t="str">
            <v>SBS-Grey</v>
          </cell>
        </row>
        <row r="193">
          <cell r="A193">
            <v>11399</v>
          </cell>
          <cell r="B193" t="str">
            <v>4 Inch Dia Upvc Pipe Class -D SPL Filter</v>
          </cell>
          <cell r="C193" t="str">
            <v>Grey</v>
          </cell>
          <cell r="D193" t="str">
            <v>6.0-6.9</v>
          </cell>
          <cell r="E193">
            <v>3</v>
          </cell>
          <cell r="F193">
            <v>10</v>
          </cell>
          <cell r="G193" t="str">
            <v xml:space="preserve">Three Layer </v>
          </cell>
        </row>
        <row r="194">
          <cell r="A194">
            <v>13242</v>
          </cell>
          <cell r="B194" t="str">
            <v>4 Inch Dia Upvc Pipe Class -D SPL Filter (6.0)</v>
          </cell>
          <cell r="C194" t="str">
            <v>Grey</v>
          </cell>
          <cell r="D194">
            <v>0</v>
          </cell>
          <cell r="E194">
            <v>3</v>
          </cell>
          <cell r="F194">
            <v>10.199999999999999</v>
          </cell>
          <cell r="G194" t="str">
            <v xml:space="preserve">Three Layer </v>
          </cell>
        </row>
        <row r="195">
          <cell r="A195" t="e">
            <v>#N/A</v>
          </cell>
          <cell r="B195" t="str">
            <v>4 Inch Dia Upvc Pipe Class -D Special Filter</v>
          </cell>
          <cell r="C195" t="str">
            <v>Grey</v>
          </cell>
          <cell r="D195" t="str">
            <v>6.0-6.9</v>
          </cell>
          <cell r="E195">
            <v>3</v>
          </cell>
          <cell r="F195">
            <v>20.399999999999999</v>
          </cell>
          <cell r="G195" t="str">
            <v xml:space="preserve">Three Layer </v>
          </cell>
        </row>
        <row r="196">
          <cell r="A196">
            <v>11152</v>
          </cell>
          <cell r="B196" t="str">
            <v>4 Inch Dia UPVC Filter Class-E</v>
          </cell>
          <cell r="C196" t="str">
            <v>Grey</v>
          </cell>
          <cell r="D196" t="str">
            <v>7.3-8.4</v>
          </cell>
          <cell r="E196">
            <v>3</v>
          </cell>
          <cell r="F196">
            <v>12.25</v>
          </cell>
          <cell r="G196" t="str">
            <v>SBS-Grey</v>
          </cell>
        </row>
        <row r="197">
          <cell r="A197">
            <v>11142</v>
          </cell>
          <cell r="B197" t="str">
            <v>4 Inch Upvc Pipe Star Filter (Gray)</v>
          </cell>
          <cell r="C197" t="str">
            <v>Grey</v>
          </cell>
          <cell r="D197" t="str">
            <v>3.2-3.4</v>
          </cell>
          <cell r="E197">
            <v>10</v>
          </cell>
          <cell r="F197">
            <v>6.25</v>
          </cell>
          <cell r="G197" t="str">
            <v>SWR-Grey</v>
          </cell>
        </row>
        <row r="198">
          <cell r="A198">
            <v>11205</v>
          </cell>
          <cell r="B198" t="str">
            <v>5 Inch Dia Upvc Pipe Filter-Star</v>
          </cell>
          <cell r="C198" t="str">
            <v>Grey</v>
          </cell>
          <cell r="D198" t="str">
            <v>3.8-4.0</v>
          </cell>
          <cell r="E198">
            <v>10</v>
          </cell>
          <cell r="F198">
            <v>9.25</v>
          </cell>
          <cell r="G198" t="str">
            <v>SWR-Grey</v>
          </cell>
        </row>
        <row r="199">
          <cell r="A199">
            <v>12963</v>
          </cell>
          <cell r="B199" t="str">
            <v xml:space="preserve">5 Inch Dia Upvc Class-D Special Filter </v>
          </cell>
          <cell r="C199" t="str">
            <v>Grey</v>
          </cell>
          <cell r="D199">
            <v>0</v>
          </cell>
          <cell r="E199">
            <v>3</v>
          </cell>
          <cell r="F199">
            <v>0</v>
          </cell>
          <cell r="G199" t="str">
            <v>SBS-Grey</v>
          </cell>
        </row>
        <row r="200">
          <cell r="A200">
            <v>11154</v>
          </cell>
          <cell r="B200" t="str">
            <v>5 Inch Dia UPVC- Filter Class-B</v>
          </cell>
          <cell r="C200" t="str">
            <v>Grey</v>
          </cell>
          <cell r="D200" t="str">
            <v>3.8-4.4</v>
          </cell>
          <cell r="E200">
            <v>3</v>
          </cell>
          <cell r="F200">
            <v>8.35</v>
          </cell>
          <cell r="G200" t="str">
            <v>SBS-Grey</v>
          </cell>
        </row>
        <row r="201">
          <cell r="A201">
            <v>11158</v>
          </cell>
          <cell r="B201" t="str">
            <v>5 Inch Dia UPVC Filter Class-D</v>
          </cell>
          <cell r="C201" t="str">
            <v>Grey</v>
          </cell>
          <cell r="D201" t="str">
            <v>7.3-8.4</v>
          </cell>
          <cell r="E201">
            <v>3</v>
          </cell>
          <cell r="F201">
            <v>15.25</v>
          </cell>
          <cell r="G201" t="str">
            <v>SBS-Grey</v>
          </cell>
        </row>
        <row r="202">
          <cell r="A202">
            <v>12973</v>
          </cell>
          <cell r="B202" t="str">
            <v>5 Inch Dia Upvc Pipe Class-D SPL Diamond Filter</v>
          </cell>
          <cell r="C202" t="str">
            <v>Grey</v>
          </cell>
          <cell r="D202" t="str">
            <v>7.3-8.4</v>
          </cell>
          <cell r="E202">
            <v>3</v>
          </cell>
          <cell r="F202">
            <v>15.5</v>
          </cell>
          <cell r="G202" t="str">
            <v xml:space="preserve">Three Layer </v>
          </cell>
        </row>
        <row r="203">
          <cell r="A203">
            <v>11156</v>
          </cell>
          <cell r="B203" t="str">
            <v>5 Inch Dia UPVC Filtter Class-C</v>
          </cell>
          <cell r="C203" t="str">
            <v>Grey</v>
          </cell>
          <cell r="D203" t="str">
            <v>5.5-6.4</v>
          </cell>
          <cell r="E203">
            <v>3</v>
          </cell>
          <cell r="F203">
            <v>11.75</v>
          </cell>
          <cell r="G203" t="str">
            <v>SBS-Grey</v>
          </cell>
        </row>
        <row r="204">
          <cell r="A204">
            <v>11160</v>
          </cell>
          <cell r="B204" t="str">
            <v>5 Inch Upvc Pipe (Filter) Class-E</v>
          </cell>
          <cell r="C204" t="str">
            <v>Grey</v>
          </cell>
          <cell r="D204" t="str">
            <v>9.0-10.4</v>
          </cell>
          <cell r="E204">
            <v>3</v>
          </cell>
          <cell r="F204">
            <v>17.5</v>
          </cell>
          <cell r="G204" t="str">
            <v>SBS-Grey</v>
          </cell>
        </row>
        <row r="205">
          <cell r="A205">
            <v>11201</v>
          </cell>
          <cell r="B205" t="str">
            <v>5 Inch Dia Upvc Pipe Class-D SPL Filter</v>
          </cell>
          <cell r="C205" t="str">
            <v>Grey</v>
          </cell>
          <cell r="D205" t="str">
            <v>7.3-8.4</v>
          </cell>
          <cell r="E205">
            <v>3</v>
          </cell>
          <cell r="F205">
            <v>15.5</v>
          </cell>
          <cell r="G205" t="str">
            <v xml:space="preserve">Three Layer </v>
          </cell>
        </row>
        <row r="206">
          <cell r="A206">
            <v>11162</v>
          </cell>
          <cell r="B206" t="str">
            <v>6 Inch Dia UPVC Filter Class -B</v>
          </cell>
          <cell r="C206" t="str">
            <v>Grey</v>
          </cell>
          <cell r="D206" t="str">
            <v>4.5-5.2</v>
          </cell>
          <cell r="E206">
            <v>3</v>
          </cell>
          <cell r="F206">
            <v>11.75</v>
          </cell>
          <cell r="G206" t="str">
            <v>SBS-Grey</v>
          </cell>
        </row>
        <row r="207">
          <cell r="A207">
            <v>11164</v>
          </cell>
          <cell r="B207" t="str">
            <v>6 Inch Dia Upvc Filter Class-C</v>
          </cell>
          <cell r="C207" t="str">
            <v>Grey</v>
          </cell>
          <cell r="D207" t="str">
            <v>6.6-7.6</v>
          </cell>
          <cell r="E207">
            <v>3</v>
          </cell>
          <cell r="F207">
            <v>16.25</v>
          </cell>
          <cell r="G207" t="str">
            <v>SBS-Grey</v>
          </cell>
        </row>
        <row r="208">
          <cell r="A208">
            <v>11166</v>
          </cell>
          <cell r="B208" t="str">
            <v>6 Inch Dia Upvc Filter Class- D</v>
          </cell>
          <cell r="C208" t="str">
            <v>Grey</v>
          </cell>
          <cell r="D208" t="str">
            <v>8.8-10.2</v>
          </cell>
          <cell r="E208">
            <v>3</v>
          </cell>
          <cell r="F208">
            <v>21.9</v>
          </cell>
          <cell r="G208" t="str">
            <v>SBS-Grey</v>
          </cell>
        </row>
        <row r="209">
          <cell r="A209">
            <v>11168</v>
          </cell>
          <cell r="B209" t="str">
            <v>6 Inch Dia Upvc Filter Class-E</v>
          </cell>
          <cell r="C209" t="str">
            <v>Grey</v>
          </cell>
          <cell r="D209" t="str">
            <v>10.8-12.5</v>
          </cell>
          <cell r="E209">
            <v>3</v>
          </cell>
          <cell r="F209">
            <v>25.75</v>
          </cell>
          <cell r="G209" t="str">
            <v>SBS-Grey</v>
          </cell>
        </row>
        <row r="210">
          <cell r="A210">
            <v>11416</v>
          </cell>
          <cell r="B210" t="str">
            <v>8 Inch Dia Robo Filter Class-E</v>
          </cell>
          <cell r="C210" t="str">
            <v>Grey</v>
          </cell>
          <cell r="D210" t="str">
            <v>12.6-13.6</v>
          </cell>
          <cell r="E210">
            <v>3</v>
          </cell>
          <cell r="F210">
            <v>42.8</v>
          </cell>
          <cell r="G210" t="str">
            <v>SBS-Grey</v>
          </cell>
        </row>
        <row r="211">
          <cell r="A211">
            <v>11176</v>
          </cell>
          <cell r="B211" t="str">
            <v>8 Inch Dia Upvc Pipe Filter Class-E</v>
          </cell>
          <cell r="C211" t="str">
            <v>Grey</v>
          </cell>
          <cell r="D211" t="str">
            <v>12.6-14.5</v>
          </cell>
          <cell r="E211">
            <v>3</v>
          </cell>
          <cell r="F211">
            <v>40</v>
          </cell>
          <cell r="G211" t="str">
            <v>SBS-Grey</v>
          </cell>
        </row>
        <row r="212">
          <cell r="A212">
            <v>11174</v>
          </cell>
          <cell r="B212" t="str">
            <v>8 Inch Dia Upvc Filter Class D</v>
          </cell>
          <cell r="C212" t="str">
            <v>Grey</v>
          </cell>
          <cell r="D212" t="str">
            <v>10.3-11.9</v>
          </cell>
          <cell r="E212">
            <v>3</v>
          </cell>
          <cell r="F212">
            <v>32.75</v>
          </cell>
          <cell r="G212" t="str">
            <v>SBS-Grey</v>
          </cell>
        </row>
        <row r="213">
          <cell r="A213">
            <v>11170</v>
          </cell>
          <cell r="B213" t="str">
            <v>8 Inch Dia UPVC Filter Class-B</v>
          </cell>
          <cell r="C213" t="str">
            <v>Grey</v>
          </cell>
          <cell r="D213" t="str">
            <v>5.3-6.1</v>
          </cell>
          <cell r="E213">
            <v>3</v>
          </cell>
          <cell r="F213">
            <v>17.5</v>
          </cell>
          <cell r="G213" t="str">
            <v>SBS-Grey</v>
          </cell>
        </row>
        <row r="214">
          <cell r="A214">
            <v>11172</v>
          </cell>
          <cell r="B214" t="str">
            <v>8 Inch Dia UPVC Filter Class- C</v>
          </cell>
          <cell r="C214" t="str">
            <v>Grey</v>
          </cell>
          <cell r="D214" t="str">
            <v>7.8-9.0</v>
          </cell>
          <cell r="E214">
            <v>3</v>
          </cell>
          <cell r="F214">
            <v>25</v>
          </cell>
          <cell r="G214" t="str">
            <v>SBS-Grey</v>
          </cell>
        </row>
        <row r="215">
          <cell r="A215">
            <v>12576</v>
          </cell>
          <cell r="B215" t="str">
            <v>8 Inc Dia Filter Class C-SPL</v>
          </cell>
          <cell r="C215" t="str">
            <v>Grey</v>
          </cell>
          <cell r="D215" t="str">
            <v>7.8-9.0</v>
          </cell>
          <cell r="E215">
            <v>3</v>
          </cell>
          <cell r="F215">
            <v>28</v>
          </cell>
          <cell r="G215" t="str">
            <v>Economy- Grey</v>
          </cell>
        </row>
        <row r="216">
          <cell r="A216" t="e">
            <v>#N/A</v>
          </cell>
          <cell r="B216" t="str">
            <v>8 Inch Dia UPVC Filter Cassing ( Grey)</v>
          </cell>
          <cell r="C216" t="str">
            <v>Grey</v>
          </cell>
          <cell r="D216" t="str">
            <v>4.8-5.2</v>
          </cell>
          <cell r="E216">
            <v>3</v>
          </cell>
          <cell r="F216">
            <v>17.5</v>
          </cell>
          <cell r="G216" t="str">
            <v>SWR-Grey</v>
          </cell>
        </row>
        <row r="217">
          <cell r="A217">
            <v>11178</v>
          </cell>
          <cell r="B217" t="str">
            <v>10 Inch Dia Upvc Pipe Filter Class-B (ft)</v>
          </cell>
          <cell r="C217" t="str">
            <v>Grey</v>
          </cell>
          <cell r="D217" t="str">
            <v>6.6-7.6</v>
          </cell>
          <cell r="E217">
            <v>3</v>
          </cell>
          <cell r="F217">
            <v>27.5</v>
          </cell>
          <cell r="G217" t="str">
            <v>SBS-Grey</v>
          </cell>
        </row>
        <row r="218">
          <cell r="A218">
            <v>12828</v>
          </cell>
          <cell r="B218" t="str">
            <v>10 Inch Dia Upvc Filter Class- E</v>
          </cell>
          <cell r="C218" t="str">
            <v>Grey</v>
          </cell>
          <cell r="D218" t="str">
            <v>15.7-18.1</v>
          </cell>
          <cell r="E218">
            <v>3</v>
          </cell>
          <cell r="F218">
            <v>62</v>
          </cell>
          <cell r="G218" t="str">
            <v>SBS-Grey</v>
          </cell>
        </row>
        <row r="219">
          <cell r="A219">
            <v>11180</v>
          </cell>
          <cell r="B219" t="str">
            <v>10 Inch Dia Upvc Filter Class- C</v>
          </cell>
          <cell r="C219" t="str">
            <v>Grey</v>
          </cell>
          <cell r="D219" t="str">
            <v>9.7-11.2</v>
          </cell>
          <cell r="E219">
            <v>3</v>
          </cell>
          <cell r="F219">
            <v>39</v>
          </cell>
          <cell r="G219" t="str">
            <v>SBS-Grey</v>
          </cell>
        </row>
        <row r="220">
          <cell r="A220">
            <v>12734</v>
          </cell>
          <cell r="B220" t="str">
            <v>10 Inch Dia Upvc Filter Class D</v>
          </cell>
          <cell r="C220" t="str">
            <v>Grey</v>
          </cell>
          <cell r="D220" t="str">
            <v>12.8-14.8</v>
          </cell>
          <cell r="E220">
            <v>3</v>
          </cell>
          <cell r="F220">
            <v>55</v>
          </cell>
          <cell r="G220" t="str">
            <v>SBS-Grey</v>
          </cell>
        </row>
        <row r="221">
          <cell r="A221">
            <v>11185</v>
          </cell>
          <cell r="B221" t="str">
            <v>12 Inch Dia Upvc Pipe Filter Class-B</v>
          </cell>
          <cell r="C221" t="str">
            <v>Grey</v>
          </cell>
          <cell r="D221" t="str">
            <v>7.8-9.0</v>
          </cell>
          <cell r="E221">
            <v>3</v>
          </cell>
          <cell r="F221">
            <v>40</v>
          </cell>
          <cell r="G221" t="str">
            <v>SBS-Grey</v>
          </cell>
        </row>
        <row r="222">
          <cell r="A222" t="e">
            <v>#N/A</v>
          </cell>
          <cell r="B222" t="str">
            <v>12" Dia Upvc Filter Class-C</v>
          </cell>
          <cell r="C222" t="str">
            <v>Grey</v>
          </cell>
          <cell r="D222" t="str">
            <v>11.5-13.3</v>
          </cell>
          <cell r="E222">
            <v>3</v>
          </cell>
          <cell r="F222">
            <v>59.5</v>
          </cell>
          <cell r="G222" t="str">
            <v>SBS-Grey</v>
          </cell>
        </row>
        <row r="223">
          <cell r="A223" t="e">
            <v>#N/A</v>
          </cell>
          <cell r="B223" t="str">
            <v>12 Inch Dia Upvc Filter Class-D</v>
          </cell>
          <cell r="C223" t="str">
            <v>Grey</v>
          </cell>
          <cell r="D223" t="str">
            <v>15.2-17.5</v>
          </cell>
          <cell r="E223">
            <v>3</v>
          </cell>
          <cell r="F223">
            <v>80</v>
          </cell>
          <cell r="G223" t="str">
            <v>SBS-Grey</v>
          </cell>
        </row>
        <row r="224">
          <cell r="A224">
            <v>12911</v>
          </cell>
          <cell r="B224" t="str">
            <v>12 Inch Dia Upvc Filter Class-E</v>
          </cell>
          <cell r="C224" t="str">
            <v>Grey</v>
          </cell>
          <cell r="D224" t="str">
            <v>18.7-21.6</v>
          </cell>
          <cell r="E224">
            <v>3</v>
          </cell>
          <cell r="F224">
            <v>92</v>
          </cell>
          <cell r="G224" t="str">
            <v>SBS-Grey</v>
          </cell>
        </row>
        <row r="225">
          <cell r="A225" t="e">
            <v>#N/A</v>
          </cell>
          <cell r="B225" t="str">
            <v>14" Dia UPVC Filter Class-C</v>
          </cell>
          <cell r="C225" t="str">
            <v>Grey</v>
          </cell>
          <cell r="D225">
            <v>0</v>
          </cell>
          <cell r="E225">
            <v>3</v>
          </cell>
          <cell r="F225">
            <v>65</v>
          </cell>
          <cell r="G225" t="str">
            <v>SBS-Grey</v>
          </cell>
        </row>
        <row r="226">
          <cell r="A226" t="e">
            <v>#N/A</v>
          </cell>
          <cell r="B226" t="str">
            <v>14 Inch Dia UPVC Filter Class-E</v>
          </cell>
          <cell r="C226" t="str">
            <v>Grey</v>
          </cell>
          <cell r="D226">
            <v>0</v>
          </cell>
          <cell r="E226">
            <v>3</v>
          </cell>
          <cell r="F226">
            <v>111</v>
          </cell>
          <cell r="G226" t="str">
            <v>SBS-Grey</v>
          </cell>
        </row>
        <row r="227">
          <cell r="A227" t="e">
            <v>#N/A</v>
          </cell>
          <cell r="B227" t="str">
            <v>16" Dia Upvc Filter Class-B</v>
          </cell>
          <cell r="C227" t="str">
            <v>Grey</v>
          </cell>
          <cell r="D227">
            <v>0</v>
          </cell>
          <cell r="E227">
            <v>3</v>
          </cell>
          <cell r="F227">
            <v>66</v>
          </cell>
          <cell r="G227" t="str">
            <v>SBS-Grey</v>
          </cell>
        </row>
        <row r="228">
          <cell r="A228" t="e">
            <v>#N/A</v>
          </cell>
          <cell r="B228" t="str">
            <v>16 Inch Dia UPVC Filter Class-E</v>
          </cell>
          <cell r="C228" t="str">
            <v>Grey</v>
          </cell>
          <cell r="D228">
            <v>0</v>
          </cell>
          <cell r="E228">
            <v>3</v>
          </cell>
          <cell r="F228">
            <v>142.5</v>
          </cell>
          <cell r="G228" t="str">
            <v>SBS-Grey</v>
          </cell>
        </row>
        <row r="229">
          <cell r="A229" t="e">
            <v>#N/A</v>
          </cell>
          <cell r="B229" t="str">
            <v>80mm Dia Upvc Filter SWR-0</v>
          </cell>
          <cell r="C229" t="str">
            <v>White</v>
          </cell>
          <cell r="D229">
            <v>0</v>
          </cell>
          <cell r="E229">
            <v>10</v>
          </cell>
          <cell r="F229">
            <v>3</v>
          </cell>
          <cell r="G229" t="str">
            <v>SWR-White</v>
          </cell>
        </row>
        <row r="230">
          <cell r="A230" t="e">
            <v>#N/A</v>
          </cell>
          <cell r="B230" t="str">
            <v>80mm SWR-1 Filter</v>
          </cell>
          <cell r="C230" t="str">
            <v>White</v>
          </cell>
          <cell r="D230">
            <v>0</v>
          </cell>
          <cell r="E230">
            <v>10</v>
          </cell>
          <cell r="F230">
            <v>4.0999999999999996</v>
          </cell>
          <cell r="G230" t="str">
            <v>SWR-White</v>
          </cell>
        </row>
        <row r="231">
          <cell r="A231" t="e">
            <v>#N/A</v>
          </cell>
          <cell r="B231" t="str">
            <v>110 mm Dia UPVC Filter ISO-3</v>
          </cell>
          <cell r="C231" t="str">
            <v>White</v>
          </cell>
          <cell r="D231">
            <v>0</v>
          </cell>
          <cell r="E231">
            <v>10</v>
          </cell>
          <cell r="F231">
            <v>6.35</v>
          </cell>
          <cell r="G231" t="str">
            <v>SWR-White</v>
          </cell>
        </row>
        <row r="232">
          <cell r="A232" t="e">
            <v>#N/A</v>
          </cell>
          <cell r="B232" t="str">
            <v>110mm Dia Upvc Filter Class SWR-1 (Gray)</v>
          </cell>
          <cell r="C232" t="str">
            <v>Grey</v>
          </cell>
          <cell r="D232">
            <v>0</v>
          </cell>
          <cell r="E232">
            <v>10</v>
          </cell>
          <cell r="F232">
            <v>5.3</v>
          </cell>
          <cell r="G232" t="str">
            <v>SWR-Grey</v>
          </cell>
        </row>
        <row r="233">
          <cell r="A233">
            <v>11322</v>
          </cell>
          <cell r="B233" t="str">
            <v>110mm Dia UPVC Filter Class SWR-1</v>
          </cell>
          <cell r="C233" t="str">
            <v>White</v>
          </cell>
          <cell r="D233">
            <v>2.7</v>
          </cell>
          <cell r="E233">
            <v>10</v>
          </cell>
          <cell r="F233">
            <v>5.0999999999999996</v>
          </cell>
          <cell r="G233" t="str">
            <v>SWR-White</v>
          </cell>
        </row>
        <row r="234">
          <cell r="A234">
            <v>11320</v>
          </cell>
          <cell r="B234" t="str">
            <v>110mm Dia UPVC Filter Class SWR-1 Spl  (Gray)</v>
          </cell>
          <cell r="C234" t="str">
            <v>Grey</v>
          </cell>
          <cell r="D234" t="str">
            <v>2.6-2.8</v>
          </cell>
          <cell r="E234">
            <v>10</v>
          </cell>
          <cell r="F234">
            <v>5.0999999999999996</v>
          </cell>
          <cell r="G234" t="str">
            <v>SWR-Grey</v>
          </cell>
        </row>
        <row r="235">
          <cell r="A235">
            <v>11318</v>
          </cell>
          <cell r="B235" t="str">
            <v>110 mm SWR -1 Spl (Filter)</v>
          </cell>
          <cell r="C235" t="str">
            <v>White</v>
          </cell>
          <cell r="D235" t="str">
            <v>2.6-2.8</v>
          </cell>
          <cell r="E235">
            <v>10</v>
          </cell>
          <cell r="F235">
            <v>5.0999999999999996</v>
          </cell>
          <cell r="G235" t="str">
            <v>SWR-White</v>
          </cell>
        </row>
        <row r="236">
          <cell r="A236">
            <v>11324</v>
          </cell>
          <cell r="B236" t="str">
            <v>110 mm Dia UPVC Filter- SWR-2</v>
          </cell>
          <cell r="C236" t="str">
            <v>White</v>
          </cell>
          <cell r="D236" t="str">
            <v>2.9-3.2</v>
          </cell>
          <cell r="E236">
            <v>10</v>
          </cell>
          <cell r="F236">
            <v>5.93</v>
          </cell>
          <cell r="G236" t="str">
            <v>SWR-White</v>
          </cell>
        </row>
        <row r="237">
          <cell r="A237">
            <v>11326</v>
          </cell>
          <cell r="B237" t="str">
            <v>110 mm Dia Upvc Filter SWR-3</v>
          </cell>
          <cell r="C237" t="str">
            <v>White</v>
          </cell>
          <cell r="D237" t="str">
            <v>3.2-3.4</v>
          </cell>
          <cell r="E237">
            <v>10</v>
          </cell>
          <cell r="F237">
            <v>6.45</v>
          </cell>
          <cell r="G237" t="str">
            <v>SWR-White</v>
          </cell>
        </row>
        <row r="238">
          <cell r="A238" t="e">
            <v>#N/A</v>
          </cell>
          <cell r="B238" t="str">
            <v>110mm Dia UPVC Pipe Filter ISO-2</v>
          </cell>
          <cell r="C238" t="str">
            <v>White</v>
          </cell>
          <cell r="D238">
            <v>0</v>
          </cell>
          <cell r="E238">
            <v>10</v>
          </cell>
          <cell r="F238">
            <v>5.8</v>
          </cell>
          <cell r="G238" t="str">
            <v>SWR-White</v>
          </cell>
        </row>
        <row r="239">
          <cell r="A239">
            <v>11334</v>
          </cell>
          <cell r="B239" t="str">
            <v>140 mm Dia Filter- Economy</v>
          </cell>
          <cell r="C239" t="str">
            <v>White</v>
          </cell>
          <cell r="D239">
            <v>3</v>
          </cell>
          <cell r="E239">
            <v>10</v>
          </cell>
          <cell r="F239">
            <v>7.5</v>
          </cell>
          <cell r="G239" t="str">
            <v>SWR-White</v>
          </cell>
        </row>
        <row r="240">
          <cell r="A240" t="e">
            <v>#N/A</v>
          </cell>
          <cell r="B240" t="str">
            <v>160 mm Upvc Filter SWR-0</v>
          </cell>
          <cell r="C240" t="str">
            <v>White</v>
          </cell>
          <cell r="D240">
            <v>0</v>
          </cell>
          <cell r="E240">
            <v>10</v>
          </cell>
          <cell r="F240">
            <v>8.5</v>
          </cell>
          <cell r="G240" t="str">
            <v>SWR-White</v>
          </cell>
        </row>
        <row r="241">
          <cell r="A241" t="e">
            <v>#N/A</v>
          </cell>
          <cell r="B241" t="str">
            <v>160 mm Dia SWR- O (SP) (Filter), Length-10’ Size</v>
          </cell>
          <cell r="C241" t="str">
            <v>Grey</v>
          </cell>
          <cell r="D241">
            <v>0</v>
          </cell>
          <cell r="E241">
            <v>10</v>
          </cell>
          <cell r="F241">
            <v>8.75</v>
          </cell>
          <cell r="G241" t="str">
            <v>SWR-Grey</v>
          </cell>
        </row>
        <row r="242">
          <cell r="A242" t="e">
            <v>#N/A</v>
          </cell>
          <cell r="B242" t="str">
            <v>160mm Dia Upvc Filter SWR-SPL</v>
          </cell>
          <cell r="C242" t="str">
            <v>White</v>
          </cell>
          <cell r="D242">
            <v>0</v>
          </cell>
          <cell r="E242">
            <v>10</v>
          </cell>
          <cell r="F242">
            <v>7.45</v>
          </cell>
          <cell r="G242" t="str">
            <v>SWR-White</v>
          </cell>
        </row>
        <row r="243">
          <cell r="A243">
            <v>11342</v>
          </cell>
          <cell r="B243" t="str">
            <v>160mm  Dia PVC Pipe Class SWR-1 (Filter)</v>
          </cell>
          <cell r="C243" t="str">
            <v>White</v>
          </cell>
          <cell r="D243" t="str">
            <v>3.8-4.1</v>
          </cell>
          <cell r="E243">
            <v>10</v>
          </cell>
          <cell r="F243">
            <v>10.65</v>
          </cell>
          <cell r="G243" t="str">
            <v>SWR-White</v>
          </cell>
        </row>
        <row r="244">
          <cell r="A244" t="e">
            <v>#N/A</v>
          </cell>
          <cell r="B244" t="str">
            <v>160mm Upvc Pipe Filter SWR-2</v>
          </cell>
          <cell r="C244" t="str">
            <v>White</v>
          </cell>
          <cell r="D244">
            <v>0</v>
          </cell>
          <cell r="E244">
            <v>10</v>
          </cell>
          <cell r="F244">
            <v>12.25</v>
          </cell>
          <cell r="G244" t="str">
            <v>SWR-White</v>
          </cell>
        </row>
        <row r="245">
          <cell r="A245" t="e">
            <v>#N/A</v>
          </cell>
          <cell r="B245" t="str">
            <v>200mm Dia Upvc Pipe Filter SWR-1</v>
          </cell>
          <cell r="C245" t="str">
            <v>White</v>
          </cell>
          <cell r="D245">
            <v>0</v>
          </cell>
          <cell r="E245">
            <v>10</v>
          </cell>
          <cell r="F245">
            <v>14.25</v>
          </cell>
          <cell r="G245" t="str">
            <v>SWR-White</v>
          </cell>
        </row>
        <row r="246">
          <cell r="A246">
            <v>11501</v>
          </cell>
          <cell r="B246" t="str">
            <v>0.5 Inch Dia UPVC Thread Pipe</v>
          </cell>
          <cell r="C246" t="str">
            <v>Green</v>
          </cell>
          <cell r="D246" t="str">
            <v>3.2-3.8</v>
          </cell>
          <cell r="E246">
            <v>10</v>
          </cell>
          <cell r="F246">
            <v>0.85</v>
          </cell>
          <cell r="G246" t="str">
            <v>Thread-Green</v>
          </cell>
        </row>
        <row r="247">
          <cell r="A247">
            <v>11502</v>
          </cell>
          <cell r="B247" t="str">
            <v>0.75 Inch Dia UPVC Thread Pipe</v>
          </cell>
          <cell r="C247" t="str">
            <v>Green</v>
          </cell>
          <cell r="D247" t="str">
            <v>3.4-4.0</v>
          </cell>
          <cell r="E247">
            <v>10</v>
          </cell>
          <cell r="F247">
            <v>1.22</v>
          </cell>
          <cell r="G247" t="str">
            <v>Thread-Green</v>
          </cell>
        </row>
        <row r="248">
          <cell r="A248">
            <v>11503</v>
          </cell>
          <cell r="B248" t="str">
            <v>1 Inch Dia UPVC Thread Pipe</v>
          </cell>
          <cell r="C248" t="str">
            <v>Green</v>
          </cell>
          <cell r="D248" t="str">
            <v>3.5-4.1</v>
          </cell>
          <cell r="E248">
            <v>10</v>
          </cell>
          <cell r="F248">
            <v>1.63</v>
          </cell>
          <cell r="G248" t="str">
            <v>Thread-Green</v>
          </cell>
        </row>
        <row r="249">
          <cell r="A249">
            <v>11504</v>
          </cell>
          <cell r="B249" t="str">
            <v>1.25 Inch Dia UPVC Thread Pipe</v>
          </cell>
          <cell r="C249" t="str">
            <v>Green</v>
          </cell>
          <cell r="D249" t="str">
            <v>4.2-4.9</v>
          </cell>
          <cell r="E249">
            <v>10</v>
          </cell>
          <cell r="F249">
            <v>2.42</v>
          </cell>
          <cell r="G249" t="str">
            <v>Thread-Green</v>
          </cell>
        </row>
        <row r="250">
          <cell r="A250">
            <v>11505</v>
          </cell>
          <cell r="B250" t="str">
            <v>1.5 Inch Dia UPVC Thread Pipe</v>
          </cell>
          <cell r="C250" t="str">
            <v>Green</v>
          </cell>
          <cell r="D250" t="str">
            <v>4.5-5.2</v>
          </cell>
          <cell r="E250">
            <v>10</v>
          </cell>
          <cell r="F250">
            <v>2.9</v>
          </cell>
          <cell r="G250" t="str">
            <v>Thread-Green</v>
          </cell>
        </row>
        <row r="251">
          <cell r="A251">
            <v>11506</v>
          </cell>
          <cell r="B251" t="str">
            <v>2 Inch Dia UPVC Thread Pipe</v>
          </cell>
          <cell r="C251" t="str">
            <v>Green</v>
          </cell>
          <cell r="D251" t="str">
            <v>4.6-5.3</v>
          </cell>
          <cell r="E251">
            <v>10</v>
          </cell>
          <cell r="F251">
            <v>3.9</v>
          </cell>
          <cell r="G251" t="str">
            <v>Thread-Green</v>
          </cell>
        </row>
        <row r="252">
          <cell r="A252">
            <v>12568</v>
          </cell>
          <cell r="B252" t="str">
            <v>0.5 Inc HDPE Coil Pipe-Green</v>
          </cell>
          <cell r="C252" t="str">
            <v>Green</v>
          </cell>
          <cell r="D252" t="str">
            <v>2.0-2.2</v>
          </cell>
          <cell r="E252">
            <v>500</v>
          </cell>
          <cell r="F252">
            <v>19.5</v>
          </cell>
          <cell r="G252" t="e">
            <v>#N/A</v>
          </cell>
        </row>
        <row r="253">
          <cell r="A253">
            <v>12569</v>
          </cell>
          <cell r="B253" t="str">
            <v>0.75 Inc HDPE Coil Pipe-Green</v>
          </cell>
          <cell r="C253" t="str">
            <v>Green</v>
          </cell>
          <cell r="D253" t="str">
            <v>2.2-2.4</v>
          </cell>
          <cell r="E253">
            <v>500</v>
          </cell>
          <cell r="F253">
            <v>24.5</v>
          </cell>
          <cell r="G253" t="str">
            <v>HDPE D/L Green</v>
          </cell>
        </row>
        <row r="254">
          <cell r="A254">
            <v>12570</v>
          </cell>
          <cell r="B254" t="str">
            <v>1 Inc HDPE Coil Pipe-Green</v>
          </cell>
          <cell r="C254" t="str">
            <v>Green</v>
          </cell>
          <cell r="D254" t="str">
            <v>2.2-2.4</v>
          </cell>
          <cell r="E254">
            <v>500</v>
          </cell>
          <cell r="F254">
            <v>35</v>
          </cell>
          <cell r="G254" t="str">
            <v>HDPE D/L Green</v>
          </cell>
        </row>
        <row r="255">
          <cell r="A255">
            <v>12571</v>
          </cell>
          <cell r="B255" t="str">
            <v>1.25 Inc HDPE Coil Pipe-Green</v>
          </cell>
          <cell r="C255" t="str">
            <v>Green</v>
          </cell>
          <cell r="D255" t="str">
            <v>2.5-2.6</v>
          </cell>
          <cell r="E255">
            <v>500</v>
          </cell>
          <cell r="F255">
            <v>46</v>
          </cell>
          <cell r="G255" t="str">
            <v>HDPE D/L Green</v>
          </cell>
        </row>
        <row r="256">
          <cell r="A256">
            <v>12572</v>
          </cell>
          <cell r="B256" t="str">
            <v>1.5 Inc HDPE Coil Pipe-Green</v>
          </cell>
          <cell r="C256" t="str">
            <v>Green</v>
          </cell>
          <cell r="D256" t="str">
            <v>2.5-2.6</v>
          </cell>
          <cell r="E256">
            <v>300</v>
          </cell>
          <cell r="F256">
            <v>36.5</v>
          </cell>
          <cell r="G256" t="str">
            <v>HDPE D/L Green</v>
          </cell>
        </row>
        <row r="257">
          <cell r="A257">
            <v>12573</v>
          </cell>
          <cell r="B257" t="str">
            <v>2 Inc HDPE Coil Pipe-Green</v>
          </cell>
          <cell r="C257" t="str">
            <v>Green</v>
          </cell>
          <cell r="D257" t="str">
            <v>4.2-4.6</v>
          </cell>
          <cell r="E257">
            <v>300</v>
          </cell>
          <cell r="F257">
            <v>74.099999999999994</v>
          </cell>
          <cell r="G257" t="str">
            <v>HDPE D/L Green</v>
          </cell>
        </row>
        <row r="258">
          <cell r="A258">
            <v>12984</v>
          </cell>
          <cell r="B258" t="str">
            <v>0.5 Inc HDPE Coil Pipe-White</v>
          </cell>
          <cell r="C258" t="str">
            <v>White</v>
          </cell>
          <cell r="D258" t="str">
            <v>2.0-2.2</v>
          </cell>
          <cell r="E258">
            <v>500</v>
          </cell>
          <cell r="F258">
            <v>19.5</v>
          </cell>
          <cell r="G258" t="str">
            <v>HDPE-White</v>
          </cell>
        </row>
        <row r="259">
          <cell r="A259">
            <v>13061</v>
          </cell>
          <cell r="B259" t="str">
            <v>0.75 Inc HDPE Coil Pipe-White</v>
          </cell>
          <cell r="C259" t="str">
            <v>White</v>
          </cell>
          <cell r="D259" t="str">
            <v>2.2-2.4</v>
          </cell>
          <cell r="E259">
            <v>500</v>
          </cell>
          <cell r="F259">
            <v>24.5</v>
          </cell>
          <cell r="G259" t="str">
            <v>HDPE-White</v>
          </cell>
        </row>
        <row r="260">
          <cell r="A260">
            <v>12985</v>
          </cell>
          <cell r="B260" t="str">
            <v>1 Inc HDPE Coil Pipe-White</v>
          </cell>
          <cell r="C260" t="str">
            <v>White</v>
          </cell>
          <cell r="D260" t="str">
            <v>2.2-2.4</v>
          </cell>
          <cell r="E260">
            <v>500</v>
          </cell>
          <cell r="F260">
            <v>35</v>
          </cell>
          <cell r="G260" t="str">
            <v>HDPE-White</v>
          </cell>
        </row>
        <row r="261">
          <cell r="A261">
            <v>16986</v>
          </cell>
          <cell r="B261" t="str">
            <v>1.5 Inc HDPE Coil Pipe-White</v>
          </cell>
          <cell r="C261" t="str">
            <v>White</v>
          </cell>
          <cell r="D261" t="str">
            <v>2.5-2.6</v>
          </cell>
          <cell r="E261">
            <v>300</v>
          </cell>
          <cell r="F261">
            <v>36.5</v>
          </cell>
          <cell r="G261" t="str">
            <v>HDPE-White</v>
          </cell>
        </row>
        <row r="262">
          <cell r="A262">
            <v>12676</v>
          </cell>
          <cell r="B262" t="str">
            <v>0.50 Inch Dia PPR Pipe-Green</v>
          </cell>
          <cell r="C262" t="str">
            <v>Green</v>
          </cell>
          <cell r="D262" t="str">
            <v>2.8-3.0</v>
          </cell>
          <cell r="E262">
            <v>10</v>
          </cell>
          <cell r="F262">
            <v>0.48</v>
          </cell>
          <cell r="G262" t="str">
            <v>PPR-Green</v>
          </cell>
        </row>
        <row r="263">
          <cell r="A263">
            <v>12677</v>
          </cell>
          <cell r="B263" t="str">
            <v>0.75 Inch Dia PPR Pipe-Green</v>
          </cell>
          <cell r="C263" t="str">
            <v>Green</v>
          </cell>
          <cell r="D263" t="str">
            <v>3.5-3.7</v>
          </cell>
          <cell r="E263">
            <v>10</v>
          </cell>
          <cell r="F263">
            <v>0.75</v>
          </cell>
          <cell r="G263" t="str">
            <v>PPR-Green</v>
          </cell>
        </row>
        <row r="264">
          <cell r="A264">
            <v>12678</v>
          </cell>
          <cell r="B264" t="str">
            <v>1 Inch Dia PPR Pipe-Green</v>
          </cell>
          <cell r="C264" t="str">
            <v>Green</v>
          </cell>
          <cell r="D264" t="str">
            <v>4.4-4.6</v>
          </cell>
          <cell r="E264">
            <v>10</v>
          </cell>
          <cell r="F264">
            <v>1.2</v>
          </cell>
          <cell r="G264" t="str">
            <v>PPR-Green</v>
          </cell>
        </row>
        <row r="265">
          <cell r="A265">
            <v>12679</v>
          </cell>
          <cell r="B265" t="str">
            <v>1.25 Inch Dia PPR Pipe-Green</v>
          </cell>
          <cell r="C265" t="str">
            <v>Green</v>
          </cell>
          <cell r="D265" t="str">
            <v>4.5-4.7</v>
          </cell>
          <cell r="E265">
            <v>10</v>
          </cell>
          <cell r="F265">
            <v>1.5</v>
          </cell>
          <cell r="G265" t="str">
            <v>PPR-Green</v>
          </cell>
        </row>
        <row r="266">
          <cell r="A266">
            <v>12680</v>
          </cell>
          <cell r="B266" t="str">
            <v>1.5 Inch Dia PPR Pipe-Green</v>
          </cell>
          <cell r="C266" t="str">
            <v>Green</v>
          </cell>
          <cell r="D266" t="str">
            <v>5.6-5.8</v>
          </cell>
          <cell r="E266">
            <v>10</v>
          </cell>
          <cell r="F266">
            <v>2.2999999999999998</v>
          </cell>
          <cell r="G266" t="str">
            <v>PPR-Green</v>
          </cell>
        </row>
        <row r="267">
          <cell r="A267">
            <v>12681</v>
          </cell>
          <cell r="B267" t="str">
            <v>2 Inch Dia PPR Pipe-Green</v>
          </cell>
          <cell r="C267" t="str">
            <v>Green</v>
          </cell>
          <cell r="D267" t="str">
            <v>7.1-7.3</v>
          </cell>
          <cell r="E267">
            <v>10</v>
          </cell>
          <cell r="F267">
            <v>3.6</v>
          </cell>
          <cell r="G267" t="str">
            <v>PPR-Green</v>
          </cell>
        </row>
        <row r="268">
          <cell r="A268" t="e">
            <v>#N/A</v>
          </cell>
          <cell r="B268" t="str">
            <v>1" Dia Upvc Thread Pipe 2.70mm (Stick)</v>
          </cell>
          <cell r="C268" t="str">
            <v>Green</v>
          </cell>
          <cell r="D268">
            <v>0</v>
          </cell>
          <cell r="E268">
            <v>10</v>
          </cell>
          <cell r="F268">
            <v>1.65</v>
          </cell>
          <cell r="G268" t="str">
            <v>Thread-Green</v>
          </cell>
        </row>
        <row r="269">
          <cell r="A269" t="e">
            <v>#N/A</v>
          </cell>
          <cell r="B269" t="str">
            <v>1" Dia Upvc Thread Pipe (3.00-3.20mm)</v>
          </cell>
          <cell r="C269" t="str">
            <v>Green</v>
          </cell>
          <cell r="D269">
            <v>0</v>
          </cell>
          <cell r="E269">
            <v>10</v>
          </cell>
          <cell r="F269">
            <v>2.4500000000000002</v>
          </cell>
          <cell r="G269" t="str">
            <v>Thread-Green</v>
          </cell>
        </row>
        <row r="270">
          <cell r="A270" t="e">
            <v>#N/A</v>
          </cell>
          <cell r="B270" t="str">
            <v>4" Dia Upvc Thread Pipe (3.40-4.00mm)</v>
          </cell>
          <cell r="C270" t="str">
            <v>Blue</v>
          </cell>
          <cell r="D270">
            <v>0</v>
          </cell>
          <cell r="E270">
            <v>10</v>
          </cell>
          <cell r="F270">
            <v>2.4500000000000002</v>
          </cell>
          <cell r="G270" t="str">
            <v>Thread-Green</v>
          </cell>
        </row>
        <row r="271">
          <cell r="A271" t="e">
            <v>#N/A</v>
          </cell>
          <cell r="B271" t="str">
            <v>1½" Dia Threated Stick Pipe (2.4mm)</v>
          </cell>
          <cell r="C271" t="str">
            <v>Green</v>
          </cell>
          <cell r="D271">
            <v>0</v>
          </cell>
          <cell r="E271">
            <v>10</v>
          </cell>
          <cell r="F271">
            <v>2.4</v>
          </cell>
          <cell r="G271" t="str">
            <v>Thread-Green</v>
          </cell>
        </row>
        <row r="272">
          <cell r="A272" t="e">
            <v>#N/A</v>
          </cell>
          <cell r="B272" t="str">
            <v>1.5 Inch Dia  Upvc Pipe Class – Economy(20 Rft Length)</v>
          </cell>
          <cell r="C272" t="str">
            <v>White</v>
          </cell>
          <cell r="D272">
            <v>0</v>
          </cell>
          <cell r="E272">
            <v>20</v>
          </cell>
          <cell r="F272">
            <v>1.9</v>
          </cell>
          <cell r="G272" t="str">
            <v>Economy- White</v>
          </cell>
        </row>
        <row r="273">
          <cell r="A273">
            <v>13062</v>
          </cell>
          <cell r="B273" t="str">
            <v>1.5 Inch Dia UPVC Pipe Class-Economy- Blue</v>
          </cell>
          <cell r="C273" t="str">
            <v>Blue</v>
          </cell>
          <cell r="D273">
            <v>0</v>
          </cell>
          <cell r="E273">
            <v>20</v>
          </cell>
          <cell r="F273">
            <v>1.6</v>
          </cell>
          <cell r="G273" t="str">
            <v>Economy- Blue</v>
          </cell>
        </row>
        <row r="274">
          <cell r="A274">
            <v>12906</v>
          </cell>
          <cell r="B274" t="str">
            <v>1.5 Inch Dia Threaded Filter (RIB) Pipe (Thread) MF+FF</v>
          </cell>
          <cell r="C274" t="str">
            <v>Blue</v>
          </cell>
          <cell r="D274">
            <v>0</v>
          </cell>
          <cell r="E274">
            <v>10</v>
          </cell>
          <cell r="F274">
            <v>1.85</v>
          </cell>
          <cell r="G274" t="str">
            <v>SBS-Blue</v>
          </cell>
        </row>
        <row r="275">
          <cell r="A275">
            <v>13195</v>
          </cell>
          <cell r="B275" t="str">
            <v>1.5 Inch Dia Threaded Filter (RIB) Pipe (Thread) MF+FF-Length-9</v>
          </cell>
          <cell r="C275" t="str">
            <v>Blue</v>
          </cell>
          <cell r="D275">
            <v>0</v>
          </cell>
          <cell r="E275">
            <v>9</v>
          </cell>
          <cell r="F275">
            <v>1.85</v>
          </cell>
          <cell r="G275" t="str">
            <v>SBS-Blue</v>
          </cell>
        </row>
        <row r="276">
          <cell r="A276" t="e">
            <v>#N/A</v>
          </cell>
          <cell r="B276" t="str">
            <v>1½ Dia Upvc Filter Economy (9' Length)</v>
          </cell>
          <cell r="C276" t="str">
            <v>Blue</v>
          </cell>
          <cell r="D276">
            <v>0</v>
          </cell>
          <cell r="E276">
            <v>9</v>
          </cell>
          <cell r="F276">
            <v>1.23</v>
          </cell>
          <cell r="G276" t="str">
            <v>Economy- Blue</v>
          </cell>
        </row>
        <row r="277">
          <cell r="A277" t="e">
            <v>#N/A</v>
          </cell>
          <cell r="B277" t="str">
            <v>1.5 Inch Dia Class Filter D-Blue (10ft)</v>
          </cell>
          <cell r="C277" t="str">
            <v>Blue</v>
          </cell>
          <cell r="D277">
            <v>0</v>
          </cell>
          <cell r="E277">
            <v>10</v>
          </cell>
          <cell r="F277">
            <v>1.9</v>
          </cell>
          <cell r="G277" t="str">
            <v>SBS-Blue</v>
          </cell>
        </row>
        <row r="278">
          <cell r="A278" t="e">
            <v>#N/A</v>
          </cell>
          <cell r="B278" t="str">
            <v>1.5 Inch Dia Class Filter D-Blue (9ft)</v>
          </cell>
          <cell r="C278" t="str">
            <v>Blue</v>
          </cell>
          <cell r="D278">
            <v>0</v>
          </cell>
          <cell r="E278">
            <v>9</v>
          </cell>
          <cell r="F278">
            <v>1.67</v>
          </cell>
          <cell r="G278" t="str">
            <v>SBS-Blue</v>
          </cell>
        </row>
        <row r="279">
          <cell r="A279" t="e">
            <v>#N/A</v>
          </cell>
          <cell r="B279" t="str">
            <v>1.5 inch Thread Filter Pipe (Thread) MF + FF</v>
          </cell>
          <cell r="C279" t="str">
            <v>Blue</v>
          </cell>
          <cell r="D279">
            <v>0</v>
          </cell>
          <cell r="E279">
            <v>10</v>
          </cell>
          <cell r="F279">
            <v>1.85</v>
          </cell>
          <cell r="G279" t="str">
            <v>SBS-Blue</v>
          </cell>
        </row>
        <row r="280">
          <cell r="A280" t="e">
            <v>#N/A</v>
          </cell>
          <cell r="B280" t="str">
            <v>1.5 Inch Dia Threaded Filter Class D</v>
          </cell>
          <cell r="C280" t="str">
            <v>Blue</v>
          </cell>
          <cell r="D280">
            <v>0</v>
          </cell>
          <cell r="E280">
            <v>10</v>
          </cell>
          <cell r="F280">
            <v>1.85</v>
          </cell>
          <cell r="G280" t="str">
            <v>SBS-Blue</v>
          </cell>
        </row>
        <row r="281">
          <cell r="A281">
            <v>11731</v>
          </cell>
          <cell r="B281" t="str">
            <v>2 Inch Dia Threated Filter Speacial 3.0mm</v>
          </cell>
          <cell r="C281" t="str">
            <v>Blue</v>
          </cell>
          <cell r="D281">
            <v>0</v>
          </cell>
          <cell r="E281">
            <v>10</v>
          </cell>
          <cell r="F281">
            <v>3.8</v>
          </cell>
          <cell r="G281" t="str">
            <v>SBS-Blue</v>
          </cell>
        </row>
        <row r="282">
          <cell r="A282">
            <v>12899</v>
          </cell>
          <cell r="B282" t="str">
            <v>3 Inch Plain Socket Pipe Class-C (Thik-3.50-4.10)</v>
          </cell>
          <cell r="C282" t="str">
            <v>Blue</v>
          </cell>
          <cell r="D282">
            <v>0</v>
          </cell>
          <cell r="E282">
            <v>20</v>
          </cell>
          <cell r="F282">
            <v>4.75</v>
          </cell>
          <cell r="G282" t="str">
            <v>SBS-Blue</v>
          </cell>
        </row>
        <row r="283">
          <cell r="A283">
            <v>12768</v>
          </cell>
          <cell r="B283" t="str">
            <v>60 mm (2 inch) Plain Socket Pipe(2.2-2.5)</v>
          </cell>
          <cell r="C283" t="str">
            <v>White</v>
          </cell>
          <cell r="D283">
            <v>0</v>
          </cell>
          <cell r="E283">
            <v>20</v>
          </cell>
          <cell r="F283">
            <v>0</v>
          </cell>
          <cell r="G283" t="str">
            <v>SWR-White</v>
          </cell>
        </row>
        <row r="284">
          <cell r="A284" t="e">
            <v>#N/A</v>
          </cell>
          <cell r="B284" t="str">
            <v>60mm Dia UPVC Pipe (Thickness 2.5 mm)</v>
          </cell>
          <cell r="C284" t="str">
            <v>White</v>
          </cell>
          <cell r="D284">
            <v>0</v>
          </cell>
          <cell r="E284">
            <v>20</v>
          </cell>
          <cell r="F284">
            <v>4.9218749999999991</v>
          </cell>
          <cell r="G284" t="str">
            <v>SWR-White</v>
          </cell>
        </row>
        <row r="285">
          <cell r="A285" t="e">
            <v>#N/A</v>
          </cell>
          <cell r="B285" t="str">
            <v>63 mm (2 inch) Plain Socket Pipe</v>
          </cell>
          <cell r="C285" t="str">
            <v>White</v>
          </cell>
          <cell r="D285">
            <v>0</v>
          </cell>
          <cell r="E285">
            <v>10</v>
          </cell>
          <cell r="F285">
            <v>5</v>
          </cell>
          <cell r="G285" t="str">
            <v>SWR-White</v>
          </cell>
        </row>
        <row r="286">
          <cell r="A286">
            <v>13233</v>
          </cell>
          <cell r="B286" t="str">
            <v>63 mm Plain Socket Pipe (1.2-1..4)</v>
          </cell>
          <cell r="C286" t="str">
            <v>White</v>
          </cell>
          <cell r="D286">
            <v>0</v>
          </cell>
          <cell r="E286">
            <v>10</v>
          </cell>
          <cell r="F286">
            <v>5</v>
          </cell>
          <cell r="G286" t="str">
            <v>SWR-White</v>
          </cell>
        </row>
        <row r="287">
          <cell r="A287">
            <v>12768</v>
          </cell>
          <cell r="B287" t="str">
            <v>63 mm Plain Socket Pipe (2.2-2.5)</v>
          </cell>
          <cell r="C287" t="str">
            <v>White</v>
          </cell>
          <cell r="D287">
            <v>0</v>
          </cell>
          <cell r="E287">
            <v>10</v>
          </cell>
          <cell r="F287">
            <v>5</v>
          </cell>
          <cell r="G287" t="str">
            <v>SWR-White</v>
          </cell>
        </row>
        <row r="288">
          <cell r="A288">
            <v>12700</v>
          </cell>
          <cell r="B288" t="str">
            <v>63 mm Plain Socket Pipe (1.6)</v>
          </cell>
          <cell r="C288" t="str">
            <v>Grey</v>
          </cell>
          <cell r="D288">
            <v>0</v>
          </cell>
          <cell r="E288">
            <v>10</v>
          </cell>
          <cell r="F288">
            <v>3.8</v>
          </cell>
          <cell r="G288" t="str">
            <v>SWR-Grey</v>
          </cell>
        </row>
        <row r="289">
          <cell r="A289">
            <v>12829</v>
          </cell>
          <cell r="B289" t="str">
            <v>63 mm Plain Socket Pipe (1.6)-White</v>
          </cell>
          <cell r="C289" t="str">
            <v>White</v>
          </cell>
          <cell r="D289">
            <v>0</v>
          </cell>
          <cell r="E289">
            <v>20</v>
          </cell>
          <cell r="F289">
            <v>3.8</v>
          </cell>
          <cell r="G289" t="str">
            <v>SWR-White</v>
          </cell>
        </row>
        <row r="290">
          <cell r="A290">
            <v>13232</v>
          </cell>
          <cell r="B290" t="str">
            <v>75mm Upvc Pipe ISO 1.2-1.4mm- White</v>
          </cell>
          <cell r="C290" t="str">
            <v>White</v>
          </cell>
          <cell r="D290">
            <v>0</v>
          </cell>
          <cell r="E290">
            <v>20</v>
          </cell>
          <cell r="F290">
            <v>5.25</v>
          </cell>
          <cell r="G290" t="str">
            <v>SWR-White</v>
          </cell>
        </row>
        <row r="291">
          <cell r="A291">
            <v>13257</v>
          </cell>
          <cell r="B291" t="str">
            <v>75mm Upvc Pipe ISO 1.2-1.4mm- Grey</v>
          </cell>
          <cell r="C291" t="str">
            <v>Grey</v>
          </cell>
          <cell r="D291">
            <v>0</v>
          </cell>
          <cell r="E291">
            <v>20</v>
          </cell>
          <cell r="F291">
            <v>0</v>
          </cell>
          <cell r="G291" t="str">
            <v>SWR-Grey</v>
          </cell>
        </row>
        <row r="292">
          <cell r="A292">
            <v>12830</v>
          </cell>
          <cell r="B292" t="str">
            <v>75mm Upvc Pipe ISO 1.6mm- White</v>
          </cell>
          <cell r="C292" t="str">
            <v>White</v>
          </cell>
          <cell r="D292">
            <v>0</v>
          </cell>
          <cell r="E292">
            <v>20</v>
          </cell>
          <cell r="F292">
            <v>4.33</v>
          </cell>
          <cell r="G292" t="str">
            <v>SWR-White</v>
          </cell>
        </row>
        <row r="293">
          <cell r="A293" t="e">
            <v>#N/A</v>
          </cell>
          <cell r="B293" t="str">
            <v>75mm Upvc Socket Pipe</v>
          </cell>
          <cell r="C293" t="str">
            <v>Grey</v>
          </cell>
          <cell r="D293">
            <v>0</v>
          </cell>
          <cell r="E293">
            <v>10</v>
          </cell>
          <cell r="F293">
            <v>4.33</v>
          </cell>
          <cell r="G293" t="str">
            <v>SWR-White</v>
          </cell>
        </row>
        <row r="294">
          <cell r="A294" t="e">
            <v>#N/A</v>
          </cell>
          <cell r="B294" t="str">
            <v>80mm Dia SWR Pipe Special (export-thick 1.80-2.00)</v>
          </cell>
          <cell r="C294" t="str">
            <v>White</v>
          </cell>
          <cell r="D294">
            <v>0</v>
          </cell>
          <cell r="E294">
            <v>20</v>
          </cell>
          <cell r="F294">
            <v>5.2</v>
          </cell>
          <cell r="G294" t="str">
            <v>SWR-White</v>
          </cell>
        </row>
        <row r="295">
          <cell r="A295" t="e">
            <v>#N/A</v>
          </cell>
          <cell r="B295" t="str">
            <v>90mm Plain Socket Pipe (2mm)</v>
          </cell>
          <cell r="C295" t="str">
            <v>White</v>
          </cell>
          <cell r="D295">
            <v>0</v>
          </cell>
          <cell r="E295">
            <v>20</v>
          </cell>
          <cell r="F295">
            <v>6.5</v>
          </cell>
          <cell r="G295" t="str">
            <v>SWR-White</v>
          </cell>
        </row>
        <row r="296">
          <cell r="A296">
            <v>12139</v>
          </cell>
          <cell r="B296" t="str">
            <v>90 mm Dai Upvc Pipe (1.6mm)</v>
          </cell>
          <cell r="C296" t="str">
            <v>Grey</v>
          </cell>
          <cell r="D296">
            <v>0</v>
          </cell>
          <cell r="E296">
            <v>20</v>
          </cell>
          <cell r="F296">
            <v>5.25</v>
          </cell>
          <cell r="G296" t="str">
            <v>SWR-Grey</v>
          </cell>
        </row>
        <row r="297">
          <cell r="A297" t="e">
            <v>#N/A</v>
          </cell>
          <cell r="B297" t="str">
            <v>90mm Dia UPVC Pipe (Thickness 3.5 mm)</v>
          </cell>
          <cell r="C297" t="str">
            <v>White</v>
          </cell>
          <cell r="D297">
            <v>0</v>
          </cell>
          <cell r="E297">
            <v>20</v>
          </cell>
          <cell r="F297">
            <v>10.390625</v>
          </cell>
          <cell r="G297" t="str">
            <v>SWR-Grey</v>
          </cell>
        </row>
        <row r="298">
          <cell r="A298">
            <v>12923</v>
          </cell>
          <cell r="B298" t="str">
            <v>90mm Plain Socket Pipe White-2.8​</v>
          </cell>
          <cell r="C298" t="str">
            <v>White</v>
          </cell>
          <cell r="D298">
            <v>0</v>
          </cell>
          <cell r="E298">
            <v>20</v>
          </cell>
          <cell r="F298">
            <v>8.8000000000000007</v>
          </cell>
          <cell r="G298" t="str">
            <v>SWR-White</v>
          </cell>
        </row>
        <row r="299">
          <cell r="A299">
            <v>12231</v>
          </cell>
          <cell r="B299" t="str">
            <v>90mm Plain Socket Pipe (White-1.3-1.5)</v>
          </cell>
          <cell r="C299" t="str">
            <v>White</v>
          </cell>
          <cell r="D299">
            <v>0</v>
          </cell>
          <cell r="E299">
            <v>20</v>
          </cell>
          <cell r="F299">
            <v>6.45</v>
          </cell>
          <cell r="G299" t="str">
            <v>SWR-White</v>
          </cell>
        </row>
        <row r="300">
          <cell r="A300">
            <v>12831</v>
          </cell>
          <cell r="B300" t="str">
            <v>90 mm Dai Upvc Pipe (1.6mm)- White</v>
          </cell>
          <cell r="C300" t="str">
            <v>White</v>
          </cell>
          <cell r="D300">
            <v>0</v>
          </cell>
          <cell r="E300">
            <v>20</v>
          </cell>
          <cell r="F300">
            <v>5.25</v>
          </cell>
          <cell r="G300" t="str">
            <v>SWR-White</v>
          </cell>
        </row>
        <row r="301">
          <cell r="A301">
            <v>12898</v>
          </cell>
          <cell r="B301" t="str">
            <v>90mm Plain Socket Pipe Gray-2.8</v>
          </cell>
          <cell r="C301" t="str">
            <v>Grey</v>
          </cell>
          <cell r="D301">
            <v>0</v>
          </cell>
          <cell r="E301">
            <v>20</v>
          </cell>
          <cell r="F301">
            <v>8.8000000000000007</v>
          </cell>
          <cell r="G301" t="str">
            <v>SWR-Grey</v>
          </cell>
        </row>
        <row r="302">
          <cell r="A302">
            <v>12720</v>
          </cell>
          <cell r="B302" t="str">
            <v>110mm Plain Socket Pipe (Gray-2.7)</v>
          </cell>
          <cell r="C302" t="str">
            <v>Grey</v>
          </cell>
          <cell r="D302">
            <v>0</v>
          </cell>
          <cell r="E302">
            <v>20</v>
          </cell>
          <cell r="F302">
            <v>10.199999999999999</v>
          </cell>
          <cell r="G302" t="str">
            <v>SWR-Grey</v>
          </cell>
        </row>
        <row r="303">
          <cell r="A303">
            <v>13229</v>
          </cell>
          <cell r="B303" t="str">
            <v>110mm Plain Socket Pipe (White-1.2-1.4)</v>
          </cell>
          <cell r="C303" t="str">
            <v>White</v>
          </cell>
          <cell r="D303">
            <v>0</v>
          </cell>
          <cell r="E303">
            <v>20</v>
          </cell>
          <cell r="F303">
            <v>6.45</v>
          </cell>
          <cell r="G303" t="str">
            <v>SWR-Grey</v>
          </cell>
        </row>
        <row r="304">
          <cell r="A304">
            <v>13255</v>
          </cell>
          <cell r="B304" t="str">
            <v>110mm Plain Socket Pipe (Grey-1.2-1.4)</v>
          </cell>
          <cell r="C304" t="str">
            <v>Grey</v>
          </cell>
          <cell r="D304">
            <v>0</v>
          </cell>
          <cell r="E304">
            <v>20</v>
          </cell>
          <cell r="F304">
            <v>0</v>
          </cell>
          <cell r="G304" t="str">
            <v>SWR-Grey</v>
          </cell>
        </row>
        <row r="305">
          <cell r="A305">
            <v>13230</v>
          </cell>
          <cell r="B305" t="str">
            <v>110mm Plain Socket Pipe (White-1.4-1.6)</v>
          </cell>
          <cell r="C305" t="str">
            <v>White</v>
          </cell>
          <cell r="D305">
            <v>0</v>
          </cell>
          <cell r="E305">
            <v>20</v>
          </cell>
          <cell r="F305">
            <v>6.2</v>
          </cell>
          <cell r="G305" t="str">
            <v>SWR-White</v>
          </cell>
        </row>
        <row r="306">
          <cell r="A306">
            <v>13228</v>
          </cell>
          <cell r="B306" t="str">
            <v>110mm Plain Socket Pipe (White-2.1-2.3)</v>
          </cell>
          <cell r="C306" t="str">
            <v>White</v>
          </cell>
          <cell r="D306">
            <v>0</v>
          </cell>
          <cell r="E306">
            <v>20</v>
          </cell>
          <cell r="F306">
            <v>8.9</v>
          </cell>
          <cell r="G306" t="str">
            <v>SWR-White</v>
          </cell>
        </row>
        <row r="307">
          <cell r="A307">
            <v>12832</v>
          </cell>
          <cell r="B307" t="str">
            <v>110mm Plain Socket Pipe (1.6mm)-Gray</v>
          </cell>
          <cell r="C307" t="str">
            <v>Grey</v>
          </cell>
          <cell r="D307">
            <v>0</v>
          </cell>
          <cell r="E307">
            <v>20</v>
          </cell>
          <cell r="F307">
            <v>6.6</v>
          </cell>
          <cell r="G307" t="str">
            <v>SWR-Grey</v>
          </cell>
        </row>
        <row r="308">
          <cell r="A308" t="e">
            <v>#N/A</v>
          </cell>
          <cell r="B308" t="str">
            <v>110mm Plain Socket Pipe (1.8mm)-Gray</v>
          </cell>
          <cell r="C308" t="str">
            <v>Grey</v>
          </cell>
          <cell r="D308">
            <v>0</v>
          </cell>
          <cell r="E308">
            <v>20</v>
          </cell>
          <cell r="F308">
            <v>7.2</v>
          </cell>
          <cell r="G308" t="str">
            <v>SWR-Grey</v>
          </cell>
        </row>
        <row r="309">
          <cell r="A309">
            <v>13699</v>
          </cell>
          <cell r="B309" t="str">
            <v>110 mm Plain Socket Pipe (3.00)</v>
          </cell>
          <cell r="C309" t="str">
            <v>White</v>
          </cell>
          <cell r="D309">
            <v>0</v>
          </cell>
          <cell r="E309">
            <v>10</v>
          </cell>
          <cell r="F309">
            <v>11.3</v>
          </cell>
          <cell r="G309" t="str">
            <v>SWR-White</v>
          </cell>
        </row>
        <row r="310">
          <cell r="A310" t="e">
            <v>#N/A</v>
          </cell>
          <cell r="B310" t="str">
            <v>160mm Plain Socket Pipe (White-3.2)</v>
          </cell>
          <cell r="C310" t="str">
            <v>White</v>
          </cell>
          <cell r="D310">
            <v>0</v>
          </cell>
          <cell r="E310">
            <v>20</v>
          </cell>
          <cell r="F310">
            <v>17</v>
          </cell>
          <cell r="G310" t="str">
            <v>Economy- White</v>
          </cell>
        </row>
        <row r="311">
          <cell r="A311" t="e">
            <v>#N/A</v>
          </cell>
          <cell r="B311" t="str">
            <v>160mm Plain Socket Pipe (Gray-3.2)</v>
          </cell>
          <cell r="C311" t="str">
            <v>Grey</v>
          </cell>
          <cell r="D311">
            <v>0</v>
          </cell>
          <cell r="E311">
            <v>20</v>
          </cell>
          <cell r="F311">
            <v>17</v>
          </cell>
          <cell r="G311" t="str">
            <v>Economy- Grey</v>
          </cell>
        </row>
        <row r="312">
          <cell r="A312" t="e">
            <v>#N/A</v>
          </cell>
          <cell r="B312" t="str">
            <v>250mm Socket Pipe (Gray 3.9)</v>
          </cell>
          <cell r="C312" t="str">
            <v>Grey</v>
          </cell>
          <cell r="D312">
            <v>0</v>
          </cell>
          <cell r="E312">
            <v>20</v>
          </cell>
          <cell r="F312">
            <v>33</v>
          </cell>
          <cell r="G312" t="str">
            <v>Economy- Grey</v>
          </cell>
        </row>
        <row r="313">
          <cell r="A313">
            <v>12648</v>
          </cell>
          <cell r="B313" t="str">
            <v>0.5 Inch Dia Push Stick Pipe</v>
          </cell>
          <cell r="C313" t="str">
            <v>White</v>
          </cell>
          <cell r="D313">
            <v>0</v>
          </cell>
          <cell r="E313">
            <v>10</v>
          </cell>
          <cell r="F313">
            <v>0.69</v>
          </cell>
          <cell r="G313" t="str">
            <v>SBS-White</v>
          </cell>
        </row>
        <row r="314">
          <cell r="A314">
            <v>12649</v>
          </cell>
          <cell r="B314" t="str">
            <v>0.75 Inch Dia Push Stick Pipe</v>
          </cell>
          <cell r="C314" t="str">
            <v>White</v>
          </cell>
          <cell r="D314">
            <v>0</v>
          </cell>
          <cell r="E314">
            <v>10</v>
          </cell>
          <cell r="F314">
            <v>0.9</v>
          </cell>
          <cell r="G314" t="str">
            <v>SBS-White</v>
          </cell>
        </row>
        <row r="315">
          <cell r="A315">
            <v>12595</v>
          </cell>
          <cell r="B315" t="str">
            <v>1 Inch Dia Push Stick Pipe</v>
          </cell>
          <cell r="C315" t="str">
            <v>White</v>
          </cell>
          <cell r="D315">
            <v>0</v>
          </cell>
          <cell r="E315">
            <v>10</v>
          </cell>
          <cell r="F315">
            <v>1.2</v>
          </cell>
          <cell r="G315" t="str">
            <v>SBS-White</v>
          </cell>
        </row>
        <row r="316">
          <cell r="A316">
            <v>12865</v>
          </cell>
          <cell r="B316" t="str">
            <v>1.5 Inch Dia Push Stick Pipe</v>
          </cell>
          <cell r="C316" t="str">
            <v>White</v>
          </cell>
          <cell r="D316">
            <v>0</v>
          </cell>
          <cell r="E316">
            <v>20</v>
          </cell>
          <cell r="F316">
            <v>1.8</v>
          </cell>
          <cell r="G316" t="str">
            <v>SBS-White</v>
          </cell>
        </row>
        <row r="317">
          <cell r="A317" t="e">
            <v>#N/A</v>
          </cell>
          <cell r="B317" t="str">
            <v>150mm (6") Strainer Dia Claas -E</v>
          </cell>
          <cell r="C317">
            <v>0</v>
          </cell>
          <cell r="D317">
            <v>0</v>
          </cell>
          <cell r="E317">
            <v>6</v>
          </cell>
          <cell r="F317">
            <v>52</v>
          </cell>
          <cell r="G317" t="str">
            <v>Tander</v>
          </cell>
        </row>
        <row r="318">
          <cell r="A318" t="e">
            <v>#N/A</v>
          </cell>
          <cell r="B318" t="str">
            <v>150mm (6") Blind Pipe Dia Claas -E</v>
          </cell>
          <cell r="C318" t="str">
            <v>Grey</v>
          </cell>
          <cell r="D318">
            <v>0</v>
          </cell>
          <cell r="E318">
            <v>6</v>
          </cell>
          <cell r="F318">
            <v>52</v>
          </cell>
          <cell r="G318" t="str">
            <v>Tander</v>
          </cell>
        </row>
        <row r="319">
          <cell r="A319" t="e">
            <v>#N/A</v>
          </cell>
          <cell r="B319" t="str">
            <v>160mm Dia Upvc Pipe (Thick-3.1-3.7)</v>
          </cell>
          <cell r="C319" t="str">
            <v>Grey</v>
          </cell>
          <cell r="D319" t="str">
            <v>3.1-3.7</v>
          </cell>
          <cell r="E319">
            <v>6</v>
          </cell>
          <cell r="F319">
            <v>18</v>
          </cell>
          <cell r="G319" t="str">
            <v>Tander</v>
          </cell>
        </row>
        <row r="320">
          <cell r="A320" t="e">
            <v>#N/A</v>
          </cell>
          <cell r="B320" t="str">
            <v>160mm Dia UPVC Pipe(2.20mm)</v>
          </cell>
          <cell r="C320">
            <v>0</v>
          </cell>
          <cell r="D320">
            <v>0</v>
          </cell>
          <cell r="E320">
            <v>6</v>
          </cell>
          <cell r="F320">
            <v>11</v>
          </cell>
          <cell r="G320" t="str">
            <v>Tander</v>
          </cell>
        </row>
        <row r="321">
          <cell r="A321">
            <v>13285</v>
          </cell>
          <cell r="B321" t="str">
            <v>160mm Dia UPVC Pipe   (Thickness-4.0 mm)</v>
          </cell>
          <cell r="C321">
            <v>0</v>
          </cell>
          <cell r="D321">
            <v>0</v>
          </cell>
          <cell r="E321">
            <v>6</v>
          </cell>
          <cell r="F321">
            <v>22.5</v>
          </cell>
          <cell r="G321" t="str">
            <v>Tander</v>
          </cell>
        </row>
        <row r="322">
          <cell r="A322">
            <v>13288</v>
          </cell>
          <cell r="B322" t="str">
            <v xml:space="preserve">160 mm Dia Upvc AIR VENT 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 t="str">
            <v>Tander</v>
          </cell>
        </row>
        <row r="323">
          <cell r="A323">
            <v>12941</v>
          </cell>
          <cell r="B323" t="str">
            <v>160mm Dia Upvc Pipe (Thick-3.1)</v>
          </cell>
          <cell r="C323" t="str">
            <v>Grey</v>
          </cell>
          <cell r="D323">
            <v>0</v>
          </cell>
          <cell r="E323">
            <v>20</v>
          </cell>
          <cell r="F323">
            <v>17.899999999999999</v>
          </cell>
          <cell r="G323" t="str">
            <v>Tander</v>
          </cell>
        </row>
        <row r="324">
          <cell r="A324" t="e">
            <v>#N/A</v>
          </cell>
          <cell r="B324" t="str">
            <v>180mm Dia UPVC Pipe SWR-1</v>
          </cell>
          <cell r="C324" t="str">
            <v>White</v>
          </cell>
          <cell r="D324">
            <v>0</v>
          </cell>
          <cell r="E324">
            <v>20</v>
          </cell>
          <cell r="F324">
            <v>15.75</v>
          </cell>
          <cell r="G324" t="str">
            <v>Economy- White</v>
          </cell>
        </row>
        <row r="325">
          <cell r="A325" t="e">
            <v>#N/A</v>
          </cell>
          <cell r="B325" t="str">
            <v>400 mm Dia UPVC Pipe (Thick 12.5)</v>
          </cell>
          <cell r="C325">
            <v>0</v>
          </cell>
          <cell r="D325">
            <v>0</v>
          </cell>
          <cell r="E325">
            <v>6</v>
          </cell>
          <cell r="F325">
            <v>150</v>
          </cell>
          <cell r="G325" t="str">
            <v>Tander</v>
          </cell>
        </row>
        <row r="326">
          <cell r="A326" t="e">
            <v>#N/A</v>
          </cell>
          <cell r="B326" t="str">
            <v>110mm Dia UPVC Pipe (PN-8)</v>
          </cell>
          <cell r="C326">
            <v>0</v>
          </cell>
          <cell r="D326">
            <v>0</v>
          </cell>
          <cell r="E326">
            <v>6</v>
          </cell>
          <cell r="F326">
            <v>11.9</v>
          </cell>
          <cell r="G326" t="str">
            <v>Tander</v>
          </cell>
        </row>
        <row r="327">
          <cell r="A327" t="e">
            <v>#N/A</v>
          </cell>
          <cell r="B327" t="str">
            <v>160 mm  Dia  UPVC Pn-8 Filter, 5.6</v>
          </cell>
          <cell r="C327">
            <v>0</v>
          </cell>
          <cell r="D327">
            <v>0</v>
          </cell>
          <cell r="E327">
            <v>10</v>
          </cell>
          <cell r="F327">
            <v>12.4</v>
          </cell>
          <cell r="G327" t="str">
            <v>Tander</v>
          </cell>
        </row>
        <row r="328">
          <cell r="A328" t="e">
            <v>#N/A</v>
          </cell>
          <cell r="B328" t="str">
            <v>160mm Dia UPVC Pipe (PN-8)</v>
          </cell>
          <cell r="C328">
            <v>0</v>
          </cell>
          <cell r="D328">
            <v>0</v>
          </cell>
          <cell r="E328">
            <v>6</v>
          </cell>
          <cell r="F328">
            <v>24.8</v>
          </cell>
          <cell r="G328" t="str">
            <v>Tander</v>
          </cell>
        </row>
        <row r="329">
          <cell r="A329">
            <v>12517</v>
          </cell>
          <cell r="B329" t="str">
            <v>225mm Dia UPVC Pipe (2.8-3.10)</v>
          </cell>
          <cell r="C329">
            <v>0</v>
          </cell>
          <cell r="D329">
            <v>0</v>
          </cell>
          <cell r="E329">
            <v>20</v>
          </cell>
          <cell r="F329">
            <v>22.5</v>
          </cell>
          <cell r="G329" t="str">
            <v>Tander</v>
          </cell>
        </row>
        <row r="330">
          <cell r="A330" t="e">
            <v>#N/A</v>
          </cell>
          <cell r="B330" t="str">
            <v>250mm Dia Upvc Pipe (Thickness 4.1-4.6 mm)</v>
          </cell>
          <cell r="C330">
            <v>0</v>
          </cell>
          <cell r="D330">
            <v>0</v>
          </cell>
          <cell r="E330">
            <v>6</v>
          </cell>
          <cell r="F330">
            <v>33</v>
          </cell>
          <cell r="G330" t="str">
            <v>Tander</v>
          </cell>
        </row>
        <row r="331">
          <cell r="A331" t="e">
            <v>#N/A</v>
          </cell>
          <cell r="B331" t="str">
            <v>400mm Dia UPVC Pipe (6.3)</v>
          </cell>
          <cell r="C331">
            <v>0</v>
          </cell>
          <cell r="D331">
            <v>0</v>
          </cell>
          <cell r="E331">
            <v>6</v>
          </cell>
          <cell r="F331">
            <v>88</v>
          </cell>
          <cell r="G331" t="str">
            <v>Tander</v>
          </cell>
        </row>
        <row r="332">
          <cell r="A332" t="e">
            <v>#N/A</v>
          </cell>
          <cell r="B332" t="str">
            <v>450mm Dia UPVC Pipe (8.80)</v>
          </cell>
          <cell r="C332">
            <v>0</v>
          </cell>
          <cell r="D332">
            <v>0</v>
          </cell>
          <cell r="E332">
            <v>6.5</v>
          </cell>
          <cell r="F332">
            <v>145</v>
          </cell>
          <cell r="G332" t="str">
            <v>Tander</v>
          </cell>
        </row>
        <row r="333">
          <cell r="A333" t="e">
            <v>#N/A</v>
          </cell>
          <cell r="B333" t="str">
            <v>180mm Dia UPVC Pipe</v>
          </cell>
          <cell r="C333">
            <v>0</v>
          </cell>
          <cell r="D333">
            <v>0</v>
          </cell>
          <cell r="E333">
            <v>6</v>
          </cell>
          <cell r="F333">
            <v>12.4</v>
          </cell>
          <cell r="G333" t="str">
            <v>Tander</v>
          </cell>
        </row>
        <row r="334">
          <cell r="A334" t="e">
            <v>#N/A</v>
          </cell>
          <cell r="B334" t="str">
            <v>225mm Dia UPVC Pipe(2.80mm)</v>
          </cell>
          <cell r="C334">
            <v>0</v>
          </cell>
          <cell r="D334">
            <v>0</v>
          </cell>
          <cell r="E334">
            <v>6</v>
          </cell>
          <cell r="F334">
            <v>18.850000000000001</v>
          </cell>
          <cell r="G334" t="str">
            <v>Tander</v>
          </cell>
        </row>
        <row r="335">
          <cell r="A335" t="e">
            <v>#N/A</v>
          </cell>
          <cell r="B335" t="str">
            <v>250mm Dia Upvc Pipe (Including Socket-Thicknes 3.1)</v>
          </cell>
          <cell r="C335">
            <v>0</v>
          </cell>
          <cell r="D335">
            <v>0</v>
          </cell>
          <cell r="E335">
            <v>6</v>
          </cell>
          <cell r="F335">
            <v>26.5</v>
          </cell>
          <cell r="G335" t="str">
            <v>Tander</v>
          </cell>
        </row>
        <row r="336">
          <cell r="A336" t="e">
            <v>#N/A</v>
          </cell>
          <cell r="B336" t="str">
            <v>250mm Dia UPVC Pipe Thickness 3.1</v>
          </cell>
          <cell r="C336">
            <v>0</v>
          </cell>
          <cell r="D336">
            <v>0</v>
          </cell>
          <cell r="E336">
            <v>6</v>
          </cell>
          <cell r="F336">
            <v>26.5</v>
          </cell>
          <cell r="G336" t="str">
            <v>Tander</v>
          </cell>
        </row>
        <row r="337">
          <cell r="A337">
            <v>12225</v>
          </cell>
          <cell r="B337" t="str">
            <v>250mm Dia Upvc Pipe (Thickness 3.9)</v>
          </cell>
          <cell r="C337" t="str">
            <v>Grey</v>
          </cell>
          <cell r="D337" t="str">
            <v>3.8-4.2</v>
          </cell>
          <cell r="E337">
            <v>6</v>
          </cell>
          <cell r="F337">
            <v>33</v>
          </cell>
          <cell r="G337" t="str">
            <v>Tander</v>
          </cell>
        </row>
        <row r="338">
          <cell r="A338">
            <v>13365</v>
          </cell>
          <cell r="B338" t="str">
            <v xml:space="preserve">315 mm Dia Upvc AIR VENT   (3350mm) </v>
          </cell>
          <cell r="C338" t="str">
            <v>Green</v>
          </cell>
          <cell r="D338" t="str">
            <v>5.1-5.3</v>
          </cell>
          <cell r="E338">
            <v>0</v>
          </cell>
          <cell r="F338">
            <v>34.799999999999997</v>
          </cell>
          <cell r="G338" t="str">
            <v>Tander</v>
          </cell>
        </row>
        <row r="339">
          <cell r="A339">
            <v>0</v>
          </cell>
          <cell r="B339" t="str">
            <v xml:space="preserve">250 mm Dia Upvc AIR VENT   (2850mm) </v>
          </cell>
          <cell r="C339" t="str">
            <v>Green</v>
          </cell>
          <cell r="D339">
            <v>0</v>
          </cell>
          <cell r="E339">
            <v>0</v>
          </cell>
          <cell r="F339">
            <v>19.25</v>
          </cell>
          <cell r="G339" t="str">
            <v>Tander</v>
          </cell>
        </row>
        <row r="340">
          <cell r="A340">
            <v>11352</v>
          </cell>
          <cell r="B340" t="str">
            <v>250mm UPVC Pipe(PN-8)</v>
          </cell>
          <cell r="C340">
            <v>0</v>
          </cell>
          <cell r="D340">
            <v>0</v>
          </cell>
          <cell r="E340">
            <v>20</v>
          </cell>
          <cell r="F340">
            <v>61</v>
          </cell>
          <cell r="G340" t="str">
            <v>Tander</v>
          </cell>
        </row>
        <row r="341">
          <cell r="A341" t="e">
            <v>#N/A</v>
          </cell>
          <cell r="B341" t="str">
            <v>280mm Dia Upvc Pipe PN-8</v>
          </cell>
          <cell r="C341" t="str">
            <v>Grey</v>
          </cell>
          <cell r="D341">
            <v>0</v>
          </cell>
          <cell r="E341">
            <v>20</v>
          </cell>
          <cell r="F341">
            <v>77</v>
          </cell>
          <cell r="G341" t="str">
            <v>Tander</v>
          </cell>
        </row>
        <row r="342">
          <cell r="A342" t="e">
            <v>#N/A</v>
          </cell>
          <cell r="B342" t="str">
            <v>315 mm Dia Pipe (PN-10),Thick-12.10-14.00</v>
          </cell>
          <cell r="C342" t="str">
            <v>Grey</v>
          </cell>
          <cell r="D342">
            <v>0</v>
          </cell>
          <cell r="E342">
            <v>6</v>
          </cell>
          <cell r="F342">
            <v>127</v>
          </cell>
          <cell r="G342" t="str">
            <v>Tander</v>
          </cell>
        </row>
        <row r="343">
          <cell r="A343">
            <v>12737</v>
          </cell>
          <cell r="B343" t="str">
            <v>315 mm Dia Pipe PN-6.3 (Thickness 7.7-8.0)</v>
          </cell>
          <cell r="C343" t="str">
            <v>Grey</v>
          </cell>
          <cell r="D343" t="str">
            <v>7.7-8.7</v>
          </cell>
          <cell r="E343">
            <v>20</v>
          </cell>
          <cell r="F343">
            <v>85</v>
          </cell>
          <cell r="G343" t="str">
            <v>Tander</v>
          </cell>
        </row>
        <row r="344">
          <cell r="A344">
            <v>13058</v>
          </cell>
          <cell r="B344" t="str">
            <v>315mm Dia Upvc Pipe (4.0 Thick)</v>
          </cell>
          <cell r="C344" t="str">
            <v>Grey</v>
          </cell>
          <cell r="D344">
            <v>0</v>
          </cell>
          <cell r="E344">
            <v>20</v>
          </cell>
          <cell r="F344">
            <v>43.5</v>
          </cell>
          <cell r="G344" t="str">
            <v>Tander</v>
          </cell>
        </row>
        <row r="345">
          <cell r="A345">
            <v>13053</v>
          </cell>
          <cell r="B345" t="str">
            <v>160 mm air vent 3.350 mm Green</v>
          </cell>
          <cell r="C345" t="str">
            <v>Green</v>
          </cell>
          <cell r="D345">
            <v>0</v>
          </cell>
          <cell r="E345">
            <v>33.5</v>
          </cell>
          <cell r="F345">
            <v>12.2</v>
          </cell>
          <cell r="G345" t="str">
            <v>Tander</v>
          </cell>
        </row>
        <row r="346">
          <cell r="A346">
            <v>13267</v>
          </cell>
          <cell r="B346" t="str">
            <v>200 mm Tee(6.2)</v>
          </cell>
          <cell r="C346" t="str">
            <v>Grey</v>
          </cell>
          <cell r="D346">
            <v>0</v>
          </cell>
          <cell r="E346">
            <v>20</v>
          </cell>
          <cell r="F346">
            <v>96</v>
          </cell>
          <cell r="G346" t="str">
            <v>Tander</v>
          </cell>
        </row>
        <row r="347">
          <cell r="A347" t="e">
            <v>#N/A</v>
          </cell>
          <cell r="B347" t="str">
            <v>312-315mm Dia Upvc Pipe (4.9 Thickness)</v>
          </cell>
          <cell r="C347">
            <v>0</v>
          </cell>
          <cell r="D347">
            <v>0</v>
          </cell>
          <cell r="E347">
            <v>6</v>
          </cell>
          <cell r="F347">
            <v>53</v>
          </cell>
          <cell r="G347" t="str">
            <v>Tander</v>
          </cell>
        </row>
        <row r="348">
          <cell r="A348" t="e">
            <v>#N/A</v>
          </cell>
          <cell r="B348" t="str">
            <v>312-315mm Dia Upvc Pipe (4.9 Thickness)</v>
          </cell>
          <cell r="C348">
            <v>0</v>
          </cell>
          <cell r="D348">
            <v>0</v>
          </cell>
          <cell r="E348">
            <v>6</v>
          </cell>
          <cell r="F348">
            <v>53</v>
          </cell>
          <cell r="G348" t="str">
            <v>Tander</v>
          </cell>
        </row>
        <row r="349">
          <cell r="A349" t="e">
            <v>#N/A</v>
          </cell>
          <cell r="B349" t="str">
            <v>315mm Upvc Pipe (Thickness 8.00mm)</v>
          </cell>
          <cell r="C349">
            <v>0</v>
          </cell>
          <cell r="D349">
            <v>0</v>
          </cell>
          <cell r="E349">
            <v>6</v>
          </cell>
          <cell r="F349">
            <v>86.530612244897952</v>
          </cell>
          <cell r="G349" t="str">
            <v>Tander</v>
          </cell>
        </row>
        <row r="350">
          <cell r="A350" t="e">
            <v>#N/A</v>
          </cell>
          <cell r="B350" t="str">
            <v>315mm Dia UPVC Pipe (11.00mm)-Mtr</v>
          </cell>
          <cell r="C350">
            <v>0</v>
          </cell>
          <cell r="D350">
            <v>0</v>
          </cell>
          <cell r="E350">
            <v>6</v>
          </cell>
          <cell r="F350">
            <v>104</v>
          </cell>
          <cell r="G350" t="str">
            <v>Tander</v>
          </cell>
        </row>
        <row r="351">
          <cell r="A351" t="e">
            <v>#N/A</v>
          </cell>
          <cell r="B351" t="str">
            <v>315mm Dia Upvc Pipe (4.5 Thickness)</v>
          </cell>
          <cell r="C351">
            <v>0</v>
          </cell>
          <cell r="D351">
            <v>0</v>
          </cell>
          <cell r="E351">
            <v>6</v>
          </cell>
          <cell r="F351">
            <v>38.5</v>
          </cell>
          <cell r="G351" t="str">
            <v>Tander</v>
          </cell>
        </row>
        <row r="352">
          <cell r="A352">
            <v>12556</v>
          </cell>
          <cell r="B352" t="str">
            <v>250mm Dia Upvc Pipe (4.9 Thickness)</v>
          </cell>
          <cell r="C352">
            <v>0</v>
          </cell>
          <cell r="D352">
            <v>0</v>
          </cell>
          <cell r="E352">
            <v>6</v>
          </cell>
          <cell r="F352">
            <v>0</v>
          </cell>
          <cell r="G352" t="str">
            <v>Tander</v>
          </cell>
        </row>
        <row r="353">
          <cell r="A353" t="e">
            <v>#N/A</v>
          </cell>
          <cell r="B353" t="str">
            <v>200mm Dia UPVC Pipe  (Thickness 3.9)</v>
          </cell>
          <cell r="C353">
            <v>0</v>
          </cell>
          <cell r="D353">
            <v>0</v>
          </cell>
          <cell r="E353">
            <v>6</v>
          </cell>
          <cell r="F353">
            <v>0</v>
          </cell>
          <cell r="G353" t="str">
            <v>Tander</v>
          </cell>
        </row>
        <row r="354">
          <cell r="A354">
            <v>13264</v>
          </cell>
          <cell r="B354" t="str">
            <v>200mm Dia UPVC Pipe  SDR-65 (Thickness 3.2)</v>
          </cell>
          <cell r="C354">
            <v>0</v>
          </cell>
          <cell r="D354">
            <v>0</v>
          </cell>
          <cell r="E354">
            <v>6</v>
          </cell>
          <cell r="F354">
            <v>45.8</v>
          </cell>
          <cell r="G354" t="str">
            <v>Tander</v>
          </cell>
        </row>
        <row r="355">
          <cell r="A355">
            <v>0</v>
          </cell>
          <cell r="B355" t="str">
            <v>200 mm Dia Upvc AIR VENT Pipe  (3.2)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 t="str">
            <v>Tander</v>
          </cell>
        </row>
        <row r="356">
          <cell r="A356" t="e">
            <v>#N/A</v>
          </cell>
          <cell r="B356" t="str">
            <v>400mm Dia PN 8 (12.3mm Thick)</v>
          </cell>
          <cell r="C356">
            <v>0</v>
          </cell>
          <cell r="D356">
            <v>0</v>
          </cell>
          <cell r="E356">
            <v>6</v>
          </cell>
          <cell r="F356">
            <v>140</v>
          </cell>
          <cell r="G356" t="str">
            <v>Tander</v>
          </cell>
        </row>
        <row r="357">
          <cell r="A357" t="e">
            <v>#N/A</v>
          </cell>
          <cell r="B357" t="str">
            <v>400mm Dia Upvc Pipe PN 8 (12.3mm) 20ft</v>
          </cell>
          <cell r="C357">
            <v>0</v>
          </cell>
          <cell r="D357">
            <v>0</v>
          </cell>
          <cell r="E357">
            <v>6</v>
          </cell>
          <cell r="F357">
            <v>140</v>
          </cell>
          <cell r="G357" t="str">
            <v>Tander</v>
          </cell>
        </row>
        <row r="358">
          <cell r="A358">
            <v>0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</row>
        <row r="359">
          <cell r="A359">
            <v>13386</v>
          </cell>
          <cell r="B359" t="str">
            <v>CPVC Pipe 1/2''(15mm)X3M-SDR-13.5</v>
          </cell>
          <cell r="C359" t="str">
            <v>Off White</v>
          </cell>
          <cell r="D359" t="str">
            <v>1.4-1.9</v>
          </cell>
          <cell r="E359">
            <v>9.84</v>
          </cell>
          <cell r="F359">
            <v>0.35</v>
          </cell>
          <cell r="G359" t="str">
            <v>Com..</v>
          </cell>
        </row>
        <row r="360">
          <cell r="A360">
            <v>13387</v>
          </cell>
          <cell r="B360" t="str">
            <v>CPVC Pipe 3/4''(20mm)X3M-SDR-13.5</v>
          </cell>
          <cell r="C360" t="str">
            <v>Off White</v>
          </cell>
          <cell r="D360" t="str">
            <v>1.7-2.2</v>
          </cell>
          <cell r="E360">
            <v>9.84</v>
          </cell>
          <cell r="F360">
            <v>0.55000000000000004</v>
          </cell>
          <cell r="G360" t="str">
            <v>Com..</v>
          </cell>
        </row>
        <row r="361">
          <cell r="A361">
            <v>13388</v>
          </cell>
          <cell r="B361" t="str">
            <v>CPVC Pipe 1''(25mm)X3M-SDR-13.5</v>
          </cell>
          <cell r="C361" t="str">
            <v>Off White</v>
          </cell>
          <cell r="D361" t="str">
            <v>2.1-2.6</v>
          </cell>
          <cell r="E361">
            <v>9.84</v>
          </cell>
          <cell r="F361">
            <v>0.9</v>
          </cell>
          <cell r="G361" t="str">
            <v>Com..</v>
          </cell>
        </row>
        <row r="362">
          <cell r="A362">
            <v>13389</v>
          </cell>
          <cell r="B362" t="str">
            <v>CPVC Pipe 1.25''(32mm)X3M-SDR-13.5</v>
          </cell>
          <cell r="C362" t="str">
            <v>Off White</v>
          </cell>
          <cell r="D362" t="str">
            <v>2.6-3.1</v>
          </cell>
          <cell r="E362">
            <v>9.84</v>
          </cell>
          <cell r="F362">
            <v>1.32</v>
          </cell>
          <cell r="G362" t="str">
            <v>Com..</v>
          </cell>
        </row>
        <row r="363">
          <cell r="A363">
            <v>13390</v>
          </cell>
          <cell r="B363" t="str">
            <v>CPVC Pipe 1.5''(40mm)X3M-SDR-13.5</v>
          </cell>
          <cell r="C363" t="str">
            <v>Off White</v>
          </cell>
          <cell r="D363" t="str">
            <v>3.1-3.6</v>
          </cell>
          <cell r="E363">
            <v>9.84</v>
          </cell>
          <cell r="F363">
            <v>1.8</v>
          </cell>
          <cell r="G363" t="str">
            <v>Com..</v>
          </cell>
        </row>
        <row r="364">
          <cell r="A364">
            <v>13391</v>
          </cell>
          <cell r="B364" t="str">
            <v>CPVC Pipe 2''(50mm)X3M-SDR-13.5</v>
          </cell>
          <cell r="C364" t="str">
            <v>Off White</v>
          </cell>
          <cell r="D364" t="str">
            <v>4-4.6</v>
          </cell>
          <cell r="E364">
            <v>9.84</v>
          </cell>
          <cell r="F364">
            <v>3.1</v>
          </cell>
          <cell r="G364" t="str">
            <v>Com..</v>
          </cell>
        </row>
        <row r="365">
          <cell r="A365">
            <v>13380</v>
          </cell>
          <cell r="B365" t="str">
            <v>CPVC Pipe 1/2''(15mm)X3M-SDR-11</v>
          </cell>
          <cell r="C365" t="str">
            <v>Off White</v>
          </cell>
          <cell r="D365" t="str">
            <v>1.7-2.2</v>
          </cell>
          <cell r="E365">
            <v>9.84</v>
          </cell>
          <cell r="F365">
            <v>0.38</v>
          </cell>
          <cell r="G365" t="str">
            <v>Com..</v>
          </cell>
        </row>
        <row r="366">
          <cell r="A366">
            <v>13381</v>
          </cell>
          <cell r="B366" t="str">
            <v>CPVC Pipe 3/4''(20mm)X3M-SDR-11</v>
          </cell>
          <cell r="C366" t="str">
            <v>Off White</v>
          </cell>
          <cell r="D366" t="str">
            <v>2-2.5</v>
          </cell>
          <cell r="E366">
            <v>9.84</v>
          </cell>
          <cell r="F366">
            <v>0.65</v>
          </cell>
          <cell r="G366" t="str">
            <v>Com..</v>
          </cell>
        </row>
        <row r="367">
          <cell r="A367">
            <v>13382</v>
          </cell>
          <cell r="B367" t="str">
            <v>CPVC Pipe 1''(25mm)X3M-SDR-11</v>
          </cell>
          <cell r="C367" t="str">
            <v>Off White</v>
          </cell>
          <cell r="D367" t="str">
            <v>2.6-3.1</v>
          </cell>
          <cell r="E367">
            <v>9.84</v>
          </cell>
          <cell r="F367">
            <v>1.1000000000000001</v>
          </cell>
          <cell r="G367" t="str">
            <v>Com..</v>
          </cell>
        </row>
        <row r="368">
          <cell r="A368">
            <v>13383</v>
          </cell>
          <cell r="B368" t="str">
            <v>CPVC Pipe 1.25''(32mm)X3M-SDR-11</v>
          </cell>
          <cell r="C368" t="str">
            <v>Off White</v>
          </cell>
          <cell r="D368" t="str">
            <v>3.2-3.7</v>
          </cell>
          <cell r="E368">
            <v>9.84</v>
          </cell>
          <cell r="F368">
            <v>1.6</v>
          </cell>
          <cell r="G368" t="str">
            <v>Com..</v>
          </cell>
        </row>
        <row r="369">
          <cell r="A369">
            <v>13384</v>
          </cell>
          <cell r="B369" t="str">
            <v>CPVC Pipe 1.5''(40mm)X3M-SDR-11</v>
          </cell>
          <cell r="C369" t="str">
            <v>Off White</v>
          </cell>
          <cell r="D369" t="str">
            <v>3.8-4.3</v>
          </cell>
          <cell r="E369">
            <v>9.84</v>
          </cell>
          <cell r="F369">
            <v>2.1</v>
          </cell>
          <cell r="G369" t="str">
            <v>Com..</v>
          </cell>
        </row>
        <row r="370">
          <cell r="A370">
            <v>13385</v>
          </cell>
          <cell r="B370" t="str">
            <v>CPVC Pipe 2''(50mm)X3M-SDR-11</v>
          </cell>
          <cell r="C370" t="str">
            <v>Off White</v>
          </cell>
          <cell r="D370" t="str">
            <v>4.9-5.5</v>
          </cell>
          <cell r="E370">
            <v>9.84</v>
          </cell>
          <cell r="F370">
            <v>3.65</v>
          </cell>
          <cell r="G370" t="str">
            <v>Com..</v>
          </cell>
        </row>
        <row r="371">
          <cell r="A371">
            <v>0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</row>
        <row r="372">
          <cell r="A372">
            <v>13530</v>
          </cell>
          <cell r="B372" t="str">
            <v>0.5 Inch Dia x 10ft UPVC Push Pipe-White</v>
          </cell>
          <cell r="C372" t="str">
            <v>White</v>
          </cell>
          <cell r="D372" t="str">
            <v>2.8-3.2</v>
          </cell>
          <cell r="E372">
            <v>3</v>
          </cell>
          <cell r="F372">
            <v>0.85</v>
          </cell>
          <cell r="G372" t="str">
            <v>NBS-White</v>
          </cell>
        </row>
        <row r="373">
          <cell r="A373">
            <v>13531</v>
          </cell>
          <cell r="B373" t="str">
            <v>0.75 Inch Dia x 10ft UPVC Push Pipe-White</v>
          </cell>
          <cell r="C373" t="str">
            <v>White</v>
          </cell>
          <cell r="D373" t="str">
            <v>2.9-3.3</v>
          </cell>
          <cell r="E373">
            <v>3</v>
          </cell>
          <cell r="F373">
            <v>1.1000000000000001</v>
          </cell>
          <cell r="G373" t="str">
            <v>NBS-White</v>
          </cell>
        </row>
        <row r="374">
          <cell r="A374">
            <v>13532</v>
          </cell>
          <cell r="B374" t="str">
            <v>1 Inch Dia x 10ft UPVC Push Pipe-White</v>
          </cell>
          <cell r="C374" t="str">
            <v>White</v>
          </cell>
          <cell r="D374" t="str">
            <v>3.4-3.8</v>
          </cell>
          <cell r="E374">
            <v>3</v>
          </cell>
          <cell r="F374">
            <v>1.7</v>
          </cell>
          <cell r="G374" t="str">
            <v>NBS-White</v>
          </cell>
        </row>
        <row r="375">
          <cell r="A375">
            <v>13533</v>
          </cell>
          <cell r="B375" t="str">
            <v>1.25 Inch Dia x 10ft UPVC Push Pipe-White</v>
          </cell>
          <cell r="C375" t="str">
            <v>White</v>
          </cell>
          <cell r="D375" t="str">
            <v>3.6-4.0</v>
          </cell>
          <cell r="E375">
            <v>3</v>
          </cell>
          <cell r="F375">
            <v>2.2000000000000002</v>
          </cell>
          <cell r="G375" t="str">
            <v>NBS-White</v>
          </cell>
        </row>
        <row r="376">
          <cell r="A376">
            <v>13534</v>
          </cell>
          <cell r="B376" t="str">
            <v>1.5 Inch Dia x 10ft UPVC Push Pipe-White</v>
          </cell>
          <cell r="C376" t="str">
            <v>White</v>
          </cell>
          <cell r="D376" t="str">
            <v>3.7-4.1</v>
          </cell>
          <cell r="E376">
            <v>3</v>
          </cell>
          <cell r="F376">
            <v>2.7</v>
          </cell>
          <cell r="G376" t="str">
            <v>NBS-White</v>
          </cell>
        </row>
        <row r="377">
          <cell r="A377">
            <v>13535</v>
          </cell>
          <cell r="B377" t="str">
            <v>2 Inch Dia x 10ft UPVC Push Pipe-White</v>
          </cell>
          <cell r="C377" t="str">
            <v>White</v>
          </cell>
          <cell r="D377" t="str">
            <v>3.9-4.3</v>
          </cell>
          <cell r="E377">
            <v>3</v>
          </cell>
          <cell r="F377">
            <v>3.55</v>
          </cell>
          <cell r="G377" t="str">
            <v>NBS-White</v>
          </cell>
        </row>
        <row r="378">
          <cell r="C378">
            <v>0</v>
          </cell>
          <cell r="D378">
            <v>0</v>
          </cell>
          <cell r="E378">
            <v>0</v>
          </cell>
          <cell r="F378">
            <v>0</v>
          </cell>
        </row>
        <row r="379">
          <cell r="C379">
            <v>0</v>
          </cell>
          <cell r="D379">
            <v>0</v>
          </cell>
          <cell r="E379">
            <v>0</v>
          </cell>
          <cell r="F379">
            <v>0</v>
          </cell>
        </row>
        <row r="380">
          <cell r="C380">
            <v>0</v>
          </cell>
          <cell r="D380">
            <v>0</v>
          </cell>
          <cell r="E380">
            <v>0</v>
          </cell>
          <cell r="F380">
            <v>0</v>
          </cell>
        </row>
        <row r="381">
          <cell r="C381">
            <v>0</v>
          </cell>
          <cell r="D381">
            <v>0</v>
          </cell>
          <cell r="E381">
            <v>0</v>
          </cell>
          <cell r="F381">
            <v>0</v>
          </cell>
        </row>
        <row r="382">
          <cell r="C382">
            <v>0</v>
          </cell>
          <cell r="D382">
            <v>0</v>
          </cell>
          <cell r="E382">
            <v>0</v>
          </cell>
          <cell r="F382">
            <v>0</v>
          </cell>
        </row>
        <row r="383">
          <cell r="C383">
            <v>0</v>
          </cell>
          <cell r="D383">
            <v>0</v>
          </cell>
          <cell r="E383">
            <v>0</v>
          </cell>
          <cell r="F383">
            <v>0</v>
          </cell>
        </row>
        <row r="384">
          <cell r="C384">
            <v>0</v>
          </cell>
          <cell r="D384">
            <v>0</v>
          </cell>
          <cell r="E384">
            <v>0</v>
          </cell>
          <cell r="F384">
            <v>0</v>
          </cell>
        </row>
        <row r="385">
          <cell r="C385">
            <v>0</v>
          </cell>
          <cell r="D385">
            <v>0</v>
          </cell>
          <cell r="E385">
            <v>0</v>
          </cell>
          <cell r="F385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30"/>
  <sheetViews>
    <sheetView topLeftCell="A16" workbookViewId="0">
      <selection activeCell="J25" sqref="J25"/>
    </sheetView>
  </sheetViews>
  <sheetFormatPr defaultRowHeight="15" x14ac:dyDescent="0.25"/>
  <cols>
    <col min="11" max="11" width="9.5703125" bestFit="1" customWidth="1"/>
  </cols>
  <sheetData>
    <row r="1" spans="1:16" ht="15.75" x14ac:dyDescent="0.25">
      <c r="A1" s="32"/>
      <c r="B1" s="32"/>
      <c r="C1" s="32"/>
      <c r="D1" s="32"/>
      <c r="E1" s="32"/>
      <c r="F1" s="43" t="s">
        <v>0</v>
      </c>
      <c r="G1" s="43"/>
      <c r="H1" s="43"/>
      <c r="I1" s="43"/>
      <c r="J1" s="43"/>
      <c r="K1" s="32"/>
      <c r="L1" s="32"/>
      <c r="M1" s="32"/>
      <c r="N1" s="32"/>
      <c r="O1" s="32"/>
      <c r="P1" s="32"/>
    </row>
    <row r="2" spans="1:16" ht="15.75" x14ac:dyDescent="0.25">
      <c r="A2" s="32"/>
      <c r="B2" s="1"/>
      <c r="C2" s="2"/>
      <c r="D2" s="32"/>
      <c r="E2" s="32"/>
      <c r="F2" s="43" t="s">
        <v>1</v>
      </c>
      <c r="G2" s="43"/>
      <c r="H2" s="43"/>
      <c r="I2" s="43"/>
      <c r="J2" s="43"/>
      <c r="K2" s="32"/>
      <c r="L2" s="32"/>
      <c r="M2" s="32"/>
      <c r="N2" s="3"/>
      <c r="O2" s="32"/>
      <c r="P2" s="32"/>
    </row>
    <row r="3" spans="1:16" ht="15.75" x14ac:dyDescent="0.25">
      <c r="A3" s="32"/>
      <c r="B3" s="32"/>
      <c r="C3" s="32"/>
      <c r="D3" s="32"/>
      <c r="E3" s="32"/>
      <c r="F3" s="44" t="s">
        <v>2</v>
      </c>
      <c r="G3" s="44"/>
      <c r="H3" s="44"/>
      <c r="I3" s="44"/>
      <c r="J3" s="44"/>
      <c r="K3" s="44"/>
      <c r="L3" s="44"/>
      <c r="M3" s="32"/>
      <c r="N3" s="32"/>
      <c r="O3" s="32"/>
      <c r="P3" s="32"/>
    </row>
    <row r="4" spans="1:16" ht="15.75" x14ac:dyDescent="0.25">
      <c r="A4" s="32"/>
      <c r="B4" s="32"/>
      <c r="C4" s="32"/>
      <c r="D4" s="32"/>
      <c r="E4" s="4" t="s">
        <v>70</v>
      </c>
      <c r="F4" s="32"/>
      <c r="G4" s="32"/>
      <c r="H4" s="32"/>
      <c r="I4" s="32"/>
      <c r="J4" s="32"/>
      <c r="K4" s="32"/>
      <c r="L4" s="5"/>
      <c r="M4" s="32"/>
      <c r="N4" s="32"/>
      <c r="O4" s="32"/>
      <c r="P4" s="6"/>
    </row>
    <row r="5" spans="1:16" ht="78.75" x14ac:dyDescent="0.25">
      <c r="A5" s="7" t="s">
        <v>3</v>
      </c>
      <c r="B5" s="7" t="s">
        <v>4</v>
      </c>
      <c r="C5" s="7" t="s">
        <v>5</v>
      </c>
      <c r="D5" s="7" t="s">
        <v>6</v>
      </c>
      <c r="E5" s="7" t="s">
        <v>7</v>
      </c>
      <c r="F5" s="7" t="s">
        <v>8</v>
      </c>
      <c r="G5" s="7" t="s">
        <v>9</v>
      </c>
      <c r="H5" s="7" t="s">
        <v>10</v>
      </c>
      <c r="I5" s="7" t="s">
        <v>11</v>
      </c>
      <c r="J5" s="7" t="s">
        <v>12</v>
      </c>
      <c r="K5" s="7" t="s">
        <v>13</v>
      </c>
      <c r="L5" s="7" t="s">
        <v>14</v>
      </c>
      <c r="M5" s="7" t="s">
        <v>15</v>
      </c>
      <c r="N5" s="7" t="s">
        <v>16</v>
      </c>
      <c r="O5" s="7" t="s">
        <v>17</v>
      </c>
      <c r="P5" s="7" t="s">
        <v>18</v>
      </c>
    </row>
    <row r="6" spans="1:16" ht="31.5" x14ac:dyDescent="0.25">
      <c r="A6" s="8">
        <v>1</v>
      </c>
      <c r="B6" s="9" t="s">
        <v>19</v>
      </c>
      <c r="C6" s="9" t="s">
        <v>29</v>
      </c>
      <c r="D6" s="10">
        <v>11141</v>
      </c>
      <c r="E6" s="11" t="str">
        <f>VLOOKUP(D:D,'[1]Production Plan '!$B$7:$C$426,2,0)</f>
        <v>4 Inch Upvc Pipe Star (Gray 20 Ft )</v>
      </c>
      <c r="F6" s="12" t="str">
        <f>VLOOKUP(D6,'[2]Production Plan '!$B$7:$G$398,6,0)</f>
        <v>Grey</v>
      </c>
      <c r="G6" s="13">
        <v>0</v>
      </c>
      <c r="H6" s="14">
        <f>VLOOKUP(D:D,'[1]Production Plan '!$B:$F,5,0)</f>
        <v>12.5</v>
      </c>
      <c r="I6" s="13"/>
      <c r="J6" s="16" t="e">
        <f>I6/(K6)</f>
        <v>#DIV/0!</v>
      </c>
      <c r="K6" s="9">
        <f>G6*H6+I6</f>
        <v>0</v>
      </c>
      <c r="L6" s="15" t="str">
        <f>VLOOKUP(D:D,[3]Sheet1!$A:$G,7,0)</f>
        <v>SWR-Grey</v>
      </c>
      <c r="M6" s="45">
        <f>I30/K30</f>
        <v>6.3783137333067577E-2</v>
      </c>
      <c r="N6" s="17">
        <v>0</v>
      </c>
      <c r="O6" s="17">
        <f>12-N6</f>
        <v>12</v>
      </c>
      <c r="P6" s="18" t="s">
        <v>71</v>
      </c>
    </row>
    <row r="7" spans="1:16" ht="15.75" x14ac:dyDescent="0.25">
      <c r="A7" s="8">
        <v>2</v>
      </c>
      <c r="B7" s="9" t="s">
        <v>22</v>
      </c>
      <c r="C7" s="9" t="s">
        <v>72</v>
      </c>
      <c r="D7" s="10">
        <v>11188</v>
      </c>
      <c r="E7" s="11" t="str">
        <f>VLOOKUP(D:D,'[1]Production Plan '!$B$7:$C$426,2,0)</f>
        <v>12 Inch Dia Upvc Pipe Class-E</v>
      </c>
      <c r="F7" s="12" t="str">
        <f>VLOOKUP(D7,'[2]Production Plan '!$B$7:$G$398,6,0)</f>
        <v>Grey</v>
      </c>
      <c r="G7" s="13">
        <v>10</v>
      </c>
      <c r="H7" s="14">
        <f>VLOOKUP(D:D,'[1]Production Plan '!$B:$F,5,0)</f>
        <v>184</v>
      </c>
      <c r="I7" s="46">
        <v>360</v>
      </c>
      <c r="J7" s="41">
        <f>I7/(K7+K9+K8)</f>
        <v>0.10455997676444961</v>
      </c>
      <c r="K7" s="9">
        <f t="shared" ref="K7:K29" si="0">G7*H7+I7</f>
        <v>2200</v>
      </c>
      <c r="L7" s="15" t="str">
        <f>VLOOKUP(D:D,[3]Sheet1!$A:$G,7,0)</f>
        <v>SBS-Grey</v>
      </c>
      <c r="M7" s="45"/>
      <c r="N7" s="35">
        <v>12</v>
      </c>
      <c r="O7" s="35">
        <f t="shared" ref="O7:O29" si="1">12-N7</f>
        <v>0</v>
      </c>
      <c r="P7" s="37" t="s">
        <v>73</v>
      </c>
    </row>
    <row r="8" spans="1:16" ht="15.75" x14ac:dyDescent="0.25">
      <c r="A8" s="8">
        <v>3</v>
      </c>
      <c r="B8" s="9" t="s">
        <v>22</v>
      </c>
      <c r="C8" s="9"/>
      <c r="D8" s="10">
        <v>12477</v>
      </c>
      <c r="E8" s="11" t="str">
        <f>VLOOKUP(D:D,'[1]Production Plan '!$B$7:$C$426,2,0)</f>
        <v>250mm Dia UPVC Cassing Pipe (Grey)</v>
      </c>
      <c r="F8" s="12" t="str">
        <f>VLOOKUP(D8,'[2]Production Plan '!$B$7:$G$398,6,0)</f>
        <v>Grey</v>
      </c>
      <c r="G8" s="13">
        <v>6</v>
      </c>
      <c r="H8" s="14">
        <f>VLOOKUP(D:D,'[1]Production Plan '!$B:$F,5,0)</f>
        <v>38.5</v>
      </c>
      <c r="I8" s="48"/>
      <c r="J8" s="49"/>
      <c r="K8" s="9">
        <f t="shared" si="0"/>
        <v>231</v>
      </c>
      <c r="L8" s="15" t="str">
        <f>VLOOKUP(D:D,[3]Sheet1!$A:$G,7,0)</f>
        <v>SWR-Grey</v>
      </c>
      <c r="M8" s="45"/>
      <c r="N8" s="50"/>
      <c r="O8" s="50"/>
      <c r="P8" s="51"/>
    </row>
    <row r="9" spans="1:16" ht="15.75" x14ac:dyDescent="0.25">
      <c r="A9" s="8">
        <v>4</v>
      </c>
      <c r="B9" s="9" t="s">
        <v>22</v>
      </c>
      <c r="C9" s="9" t="s">
        <v>21</v>
      </c>
      <c r="D9" s="10">
        <v>12911</v>
      </c>
      <c r="E9" s="11" t="str">
        <f>VLOOKUP(D:D,'[1]Production Plan '!$B$7:$C$426,2,0)</f>
        <v>12 Inch Dia Upvc Filter Class-E</v>
      </c>
      <c r="F9" s="12" t="str">
        <f>VLOOKUP(D9,'[2]Production Plan '!$B$7:$G$398,6,0)</f>
        <v>Grey</v>
      </c>
      <c r="G9" s="13">
        <v>11</v>
      </c>
      <c r="H9" s="14">
        <f>VLOOKUP(D:D,'[1]Production Plan '!$B:$F,5,0)</f>
        <v>92</v>
      </c>
      <c r="I9" s="47"/>
      <c r="J9" s="42"/>
      <c r="K9" s="9">
        <f t="shared" si="0"/>
        <v>1012</v>
      </c>
      <c r="L9" s="15" t="str">
        <f>VLOOKUP(D:D,[3]Sheet1!$A:$G,7,0)</f>
        <v>SBS-Grey</v>
      </c>
      <c r="M9" s="45"/>
      <c r="N9" s="36"/>
      <c r="O9" s="36"/>
      <c r="P9" s="38"/>
    </row>
    <row r="10" spans="1:16" ht="31.5" x14ac:dyDescent="0.25">
      <c r="A10" s="8">
        <v>5</v>
      </c>
      <c r="B10" s="9" t="s">
        <v>24</v>
      </c>
      <c r="C10" s="19"/>
      <c r="D10" s="10">
        <v>11105</v>
      </c>
      <c r="E10" s="11" t="str">
        <f>VLOOKUP(D:D,'[1]Production Plan '!$B$7:$C$426,2,0)</f>
        <v>1 Inch Dia Upvc Pipe Class-D</v>
      </c>
      <c r="F10" s="12" t="str">
        <f>VLOOKUP(D10,'[2]Production Plan '!$B$7:$G$398,6,0)</f>
        <v>Grey</v>
      </c>
      <c r="G10" s="13">
        <v>0</v>
      </c>
      <c r="H10" s="14">
        <f>VLOOKUP(D:D,'[1]Production Plan '!$B:$F,5,0)</f>
        <v>0.85</v>
      </c>
      <c r="I10" s="13"/>
      <c r="J10" s="16" t="e">
        <f t="shared" ref="J10:J19" si="2">I10/(K10)</f>
        <v>#DIV/0!</v>
      </c>
      <c r="K10" s="9">
        <f t="shared" si="0"/>
        <v>0</v>
      </c>
      <c r="L10" s="15" t="str">
        <f>VLOOKUP(D:D,[3]Sheet1!$A:$G,7,0)</f>
        <v>STD-Grey</v>
      </c>
      <c r="M10" s="45"/>
      <c r="N10" s="17">
        <v>0</v>
      </c>
      <c r="O10" s="17">
        <f t="shared" si="1"/>
        <v>12</v>
      </c>
      <c r="P10" s="18" t="s">
        <v>71</v>
      </c>
    </row>
    <row r="11" spans="1:16" ht="15.75" x14ac:dyDescent="0.25">
      <c r="A11" s="8">
        <v>6</v>
      </c>
      <c r="B11" s="9" t="s">
        <v>25</v>
      </c>
      <c r="C11" s="19" t="s">
        <v>74</v>
      </c>
      <c r="D11" s="10">
        <v>11506</v>
      </c>
      <c r="E11" s="11" t="str">
        <f>VLOOKUP(D:D,'[1]Production Plan '!$B$7:$C$426,2,0)</f>
        <v>2 Inch Dia UPVC Thread Pipe</v>
      </c>
      <c r="F11" s="12" t="str">
        <f>VLOOKUP(D11,'[2]Production Plan '!$B$7:$G$398,6,0)</f>
        <v>Green</v>
      </c>
      <c r="G11" s="13">
        <v>195</v>
      </c>
      <c r="H11" s="14">
        <f>VLOOKUP(D:D,'[1]Production Plan '!$B:$F,5,0)</f>
        <v>3.9</v>
      </c>
      <c r="I11" s="39">
        <v>200</v>
      </c>
      <c r="J11" s="41">
        <f>I11/(K11+K12)</f>
        <v>0.15846604864907696</v>
      </c>
      <c r="K11" s="9">
        <f t="shared" si="0"/>
        <v>960.5</v>
      </c>
      <c r="L11" s="15" t="str">
        <f>VLOOKUP(D:D,[3]Sheet1!$A:$G,7,0)</f>
        <v>Thread-Green</v>
      </c>
      <c r="M11" s="45"/>
      <c r="N11" s="35">
        <v>7</v>
      </c>
      <c r="O11" s="35">
        <f t="shared" si="1"/>
        <v>5</v>
      </c>
      <c r="P11" s="37" t="s">
        <v>75</v>
      </c>
    </row>
    <row r="12" spans="1:16" ht="15.75" x14ac:dyDescent="0.25">
      <c r="A12" s="8">
        <v>7</v>
      </c>
      <c r="B12" s="9" t="s">
        <v>25</v>
      </c>
      <c r="C12" s="19" t="s">
        <v>21</v>
      </c>
      <c r="D12" s="10">
        <v>11505</v>
      </c>
      <c r="E12" s="11" t="str">
        <f>VLOOKUP(D:D,'[1]Production Plan '!$B$7:$C$426,2,0)</f>
        <v>1.5 Inch Dia UPVC Thread Pipe</v>
      </c>
      <c r="F12" s="12" t="str">
        <f>VLOOKUP(D12,'[2]Production Plan '!$B$7:$G$398,6,0)</f>
        <v>Green</v>
      </c>
      <c r="G12" s="13">
        <v>104</v>
      </c>
      <c r="H12" s="14">
        <f>VLOOKUP(D:D,'[1]Production Plan '!$B:$F,5,0)</f>
        <v>2.9</v>
      </c>
      <c r="I12" s="40"/>
      <c r="J12" s="42"/>
      <c r="K12" s="9">
        <f t="shared" si="0"/>
        <v>301.59999999999997</v>
      </c>
      <c r="L12" s="15" t="str">
        <f>VLOOKUP(D:D,[3]Sheet1!$A:$G,7,0)</f>
        <v>Thread-Green</v>
      </c>
      <c r="M12" s="45"/>
      <c r="N12" s="36"/>
      <c r="O12" s="36"/>
      <c r="P12" s="38"/>
    </row>
    <row r="13" spans="1:16" ht="15.75" x14ac:dyDescent="0.25">
      <c r="A13" s="8">
        <v>8</v>
      </c>
      <c r="B13" s="22" t="s">
        <v>26</v>
      </c>
      <c r="C13" s="9" t="s">
        <v>76</v>
      </c>
      <c r="D13" s="10">
        <v>11114</v>
      </c>
      <c r="E13" s="11" t="str">
        <f>VLOOKUP(D:D,'[1]Production Plan '!$B$7:$C$426,2,0)</f>
        <v>1.5 Inch Dia UPVC Pipe Filter-Class-D (White)</v>
      </c>
      <c r="F13" s="12" t="str">
        <f>VLOOKUP(D13,'[2]Production Plan '!$B$7:$G$398,6,0)</f>
        <v>White</v>
      </c>
      <c r="G13" s="13">
        <v>350</v>
      </c>
      <c r="H13" s="14">
        <f>VLOOKUP(D:D,'[1]Production Plan '!$B:$F,5,0)</f>
        <v>2</v>
      </c>
      <c r="I13" s="39">
        <v>28</v>
      </c>
      <c r="J13" s="41">
        <f>I13/(K13+K14)</f>
        <v>3.482587064676617E-2</v>
      </c>
      <c r="K13" s="9">
        <f t="shared" si="0"/>
        <v>728</v>
      </c>
      <c r="L13" s="15" t="str">
        <f>VLOOKUP(D:D,[3]Sheet1!$A:$G,7,0)</f>
        <v>SBS-White</v>
      </c>
      <c r="M13" s="45"/>
      <c r="N13" s="35">
        <v>12</v>
      </c>
      <c r="O13" s="35">
        <f t="shared" si="1"/>
        <v>0</v>
      </c>
      <c r="P13" s="52"/>
    </row>
    <row r="14" spans="1:16" ht="15.75" x14ac:dyDescent="0.25">
      <c r="A14" s="8">
        <v>9</v>
      </c>
      <c r="B14" s="22" t="s">
        <v>26</v>
      </c>
      <c r="C14" s="9" t="s">
        <v>21</v>
      </c>
      <c r="D14" s="10">
        <v>13422</v>
      </c>
      <c r="E14" s="11" t="str">
        <f>VLOOKUP(D:D,'[1]Production Plan '!$B$7:$C$426,2,0)</f>
        <v>1.5 Inch x 10Ft uPVC Cless-D Rib Filter (Gray)</v>
      </c>
      <c r="F14" s="12" t="str">
        <f>VLOOKUP(D14,'[2]Production Plan '!$B$7:$G$398,6,0)</f>
        <v>Grey</v>
      </c>
      <c r="G14" s="13">
        <v>40</v>
      </c>
      <c r="H14" s="14">
        <f>VLOOKUP(D:D,'[1]Production Plan '!$B:$F,5,0)</f>
        <v>1.9</v>
      </c>
      <c r="I14" s="40"/>
      <c r="J14" s="42"/>
      <c r="K14" s="9">
        <f t="shared" si="0"/>
        <v>76</v>
      </c>
      <c r="L14" s="15" t="e">
        <f>VLOOKUP(D:D,[3]Sheet1!$A:$G,7,0)</f>
        <v>#N/A</v>
      </c>
      <c r="M14" s="45"/>
      <c r="N14" s="36"/>
      <c r="O14" s="36"/>
      <c r="P14" s="53"/>
    </row>
    <row r="15" spans="1:16" ht="15.75" x14ac:dyDescent="0.25">
      <c r="A15" s="8">
        <v>10</v>
      </c>
      <c r="B15" s="22" t="s">
        <v>28</v>
      </c>
      <c r="C15" s="20" t="s">
        <v>21</v>
      </c>
      <c r="D15" s="10">
        <v>11302</v>
      </c>
      <c r="E15" s="11" t="str">
        <f>VLOOKUP(D:D,'[1]Production Plan '!$B$7:$C$426,2,0)</f>
        <v>40 mm Dia UPVC Pipe Class ISO</v>
      </c>
      <c r="F15" s="12" t="str">
        <f>VLOOKUP(D15,'[2]Production Plan '!$B$7:$G$398,6,0)</f>
        <v>White</v>
      </c>
      <c r="G15" s="13">
        <v>620</v>
      </c>
      <c r="H15" s="14">
        <f>VLOOKUP(D:D,'[1]Production Plan '!$B:$F,5,0)</f>
        <v>1.3</v>
      </c>
      <c r="I15" s="13">
        <v>37</v>
      </c>
      <c r="J15" s="16">
        <f t="shared" si="2"/>
        <v>4.3890865954922892E-2</v>
      </c>
      <c r="K15" s="9">
        <f t="shared" si="0"/>
        <v>843</v>
      </c>
      <c r="L15" s="15"/>
      <c r="M15" s="45"/>
      <c r="N15" s="17">
        <v>12</v>
      </c>
      <c r="O15" s="17">
        <f t="shared" si="1"/>
        <v>0</v>
      </c>
      <c r="P15" s="18"/>
    </row>
    <row r="16" spans="1:16" ht="15.75" x14ac:dyDescent="0.25">
      <c r="A16" s="8">
        <v>11</v>
      </c>
      <c r="B16" s="9" t="s">
        <v>30</v>
      </c>
      <c r="C16" s="9" t="s">
        <v>77</v>
      </c>
      <c r="D16" s="10">
        <v>13401</v>
      </c>
      <c r="E16" s="11" t="str">
        <f>VLOOKUP(D:D,'[1]Production Plan '!$B$7:$C$426,2,0)</f>
        <v>75mm Dia Upvc PN-12.5 Pipe</v>
      </c>
      <c r="F16" s="12" t="str">
        <f>VLOOKUP(D16,'[2]Production Plan '!$B$7:$G$398,6,0)</f>
        <v>White</v>
      </c>
      <c r="G16" s="13">
        <v>125</v>
      </c>
      <c r="H16" s="14">
        <f>VLOOKUP(D:D,'[1]Production Plan '!$B:$F,5,0)</f>
        <v>11.52</v>
      </c>
      <c r="I16" s="13">
        <v>90</v>
      </c>
      <c r="J16" s="16">
        <f t="shared" si="2"/>
        <v>5.8823529411764705E-2</v>
      </c>
      <c r="K16" s="9">
        <f t="shared" si="0"/>
        <v>1530</v>
      </c>
      <c r="L16" s="15" t="s">
        <v>78</v>
      </c>
      <c r="M16" s="45"/>
      <c r="N16" s="17">
        <v>12</v>
      </c>
      <c r="O16" s="17">
        <f t="shared" si="1"/>
        <v>0</v>
      </c>
      <c r="P16" s="18"/>
    </row>
    <row r="17" spans="1:16" ht="31.5" x14ac:dyDescent="0.25">
      <c r="A17" s="8">
        <v>12</v>
      </c>
      <c r="B17" s="9" t="s">
        <v>32</v>
      </c>
      <c r="C17" s="9"/>
      <c r="D17" s="10">
        <v>11335</v>
      </c>
      <c r="E17" s="11" t="str">
        <f>VLOOKUP(D:D,'[1]Production Plan '!$B$7:$C$426,2,0)</f>
        <v>160mm Dia Upvc PN-8 Pipe</v>
      </c>
      <c r="F17" s="12" t="str">
        <f>VLOOKUP(D17,'[2]Production Plan '!$B$7:$G$398,6,0)</f>
        <v>White</v>
      </c>
      <c r="G17" s="13">
        <v>0</v>
      </c>
      <c r="H17" s="14">
        <f>VLOOKUP(D:D,'[1]Production Plan '!$B:$F,5,0)</f>
        <v>26.6</v>
      </c>
      <c r="I17" s="13"/>
      <c r="J17" s="16" t="e">
        <f t="shared" si="2"/>
        <v>#DIV/0!</v>
      </c>
      <c r="K17" s="9">
        <f t="shared" si="0"/>
        <v>0</v>
      </c>
      <c r="L17" s="15" t="str">
        <f>VLOOKUP(D:D,[3]Sheet1!$A:$G,7,0)</f>
        <v>STD-White</v>
      </c>
      <c r="M17" s="45"/>
      <c r="N17" s="17">
        <v>0</v>
      </c>
      <c r="O17" s="17">
        <f t="shared" si="1"/>
        <v>12</v>
      </c>
      <c r="P17" s="18" t="s">
        <v>71</v>
      </c>
    </row>
    <row r="18" spans="1:16" ht="15.75" x14ac:dyDescent="0.25">
      <c r="A18" s="8">
        <v>13</v>
      </c>
      <c r="B18" s="9" t="s">
        <v>33</v>
      </c>
      <c r="C18" s="20" t="s">
        <v>21</v>
      </c>
      <c r="D18" s="10">
        <v>12934</v>
      </c>
      <c r="E18" s="11" t="str">
        <f>VLOOKUP(D:D,'[1]Production Plan '!$B$7:$C$426,2,0)</f>
        <v>110 mm Dia Upvc Pipe SWR-3 SPL</v>
      </c>
      <c r="F18" s="12" t="str">
        <f>VLOOKUP(D18,'[2]Production Plan '!$B$7:$G$398,6,0)</f>
        <v>White</v>
      </c>
      <c r="G18" s="13">
        <v>153</v>
      </c>
      <c r="H18" s="14">
        <f>VLOOKUP(D:D,'[1]Production Plan '!$B:$F,5,0)</f>
        <v>12.7</v>
      </c>
      <c r="I18" s="13">
        <v>61</v>
      </c>
      <c r="J18" s="16">
        <f t="shared" si="2"/>
        <v>3.0437602914026248E-2</v>
      </c>
      <c r="K18" s="9">
        <f t="shared" si="0"/>
        <v>2004.1</v>
      </c>
      <c r="L18" s="15" t="str">
        <f>VLOOKUP(D:D,[3]Sheet1!$A:$G,7,0)</f>
        <v>SWR-White</v>
      </c>
      <c r="M18" s="45"/>
      <c r="N18" s="17">
        <v>12</v>
      </c>
      <c r="O18" s="17">
        <f t="shared" si="1"/>
        <v>0</v>
      </c>
      <c r="P18" s="18"/>
    </row>
    <row r="19" spans="1:16" ht="31.5" x14ac:dyDescent="0.25">
      <c r="A19" s="8">
        <v>14</v>
      </c>
      <c r="B19" s="9" t="s">
        <v>34</v>
      </c>
      <c r="C19" s="20"/>
      <c r="D19" s="10">
        <v>11502</v>
      </c>
      <c r="E19" s="11" t="str">
        <f>VLOOKUP(D:D,'[1]Production Plan '!$B$7:$C$426,2,0)</f>
        <v>0.75 Inch Dia UPVC Thread Pipe</v>
      </c>
      <c r="F19" s="12" t="str">
        <f>VLOOKUP(D19,'[2]Production Plan '!$B$7:$G$398,6,0)</f>
        <v>Green</v>
      </c>
      <c r="G19" s="13">
        <v>0</v>
      </c>
      <c r="H19" s="14">
        <f>VLOOKUP(D:D,'[1]Production Plan '!$B:$F,5,0)</f>
        <v>1.24</v>
      </c>
      <c r="I19" s="13"/>
      <c r="J19" s="16" t="e">
        <f t="shared" si="2"/>
        <v>#DIV/0!</v>
      </c>
      <c r="K19" s="9">
        <f t="shared" si="0"/>
        <v>0</v>
      </c>
      <c r="L19" s="15" t="str">
        <f>VLOOKUP(D:D,[3]Sheet1!$A:$G,7,0)</f>
        <v>Thread-Green</v>
      </c>
      <c r="M19" s="45"/>
      <c r="N19" s="17">
        <v>0</v>
      </c>
      <c r="O19" s="17">
        <f t="shared" si="1"/>
        <v>12</v>
      </c>
      <c r="P19" s="18" t="s">
        <v>71</v>
      </c>
    </row>
    <row r="20" spans="1:16" ht="15.75" x14ac:dyDescent="0.25">
      <c r="A20" s="8">
        <v>15</v>
      </c>
      <c r="B20" s="9" t="s">
        <v>35</v>
      </c>
      <c r="C20" s="9" t="s">
        <v>45</v>
      </c>
      <c r="D20" s="10">
        <v>11391</v>
      </c>
      <c r="E20" s="11" t="str">
        <f>VLOOKUP(D:D,'[1]Production Plan '!$B$7:$C$426,2,0)</f>
        <v>4 Inch Dia UPVC Pipe Class-D SPL</v>
      </c>
      <c r="F20" s="12" t="str">
        <f>VLOOKUP(D20,'[2]Production Plan '!$B$7:$G$398,6,0)</f>
        <v>Grey</v>
      </c>
      <c r="G20" s="13">
        <v>5</v>
      </c>
      <c r="H20" s="14">
        <f>VLOOKUP(D:D,'[1]Production Plan '!$B:$F,5,0)</f>
        <v>20</v>
      </c>
      <c r="I20" s="39"/>
      <c r="J20" s="41">
        <f>I20/(K20+K21)</f>
        <v>0</v>
      </c>
      <c r="K20" s="9">
        <f t="shared" si="0"/>
        <v>100</v>
      </c>
      <c r="L20" s="15" t="str">
        <f>VLOOKUP(D:D,[3]Sheet1!$A:$G,7,0)</f>
        <v>Three Layer</v>
      </c>
      <c r="M20" s="45"/>
      <c r="N20" s="35">
        <v>0</v>
      </c>
      <c r="O20" s="35">
        <f t="shared" si="1"/>
        <v>12</v>
      </c>
      <c r="P20" s="54" t="s">
        <v>71</v>
      </c>
    </row>
    <row r="21" spans="1:16" ht="15.75" x14ac:dyDescent="0.25">
      <c r="A21" s="8">
        <v>16</v>
      </c>
      <c r="B21" s="9" t="s">
        <v>35</v>
      </c>
      <c r="C21" s="9"/>
      <c r="D21" s="10">
        <v>11399</v>
      </c>
      <c r="E21" s="11" t="str">
        <f>VLOOKUP(D:D,'[1]Production Plan '!$B$7:$C$426,2,0)</f>
        <v>4 Inch Dia Upvc Pipe Class -D SPL Filter</v>
      </c>
      <c r="F21" s="12" t="str">
        <f>VLOOKUP(D21,'[2]Production Plan '!$B$7:$G$398,6,0)</f>
        <v>Grey</v>
      </c>
      <c r="G21" s="13">
        <v>14</v>
      </c>
      <c r="H21" s="14">
        <f>VLOOKUP(D:D,'[1]Production Plan '!$B:$F,5,0)</f>
        <v>10</v>
      </c>
      <c r="I21" s="40"/>
      <c r="J21" s="42"/>
      <c r="K21" s="9">
        <f t="shared" si="0"/>
        <v>140</v>
      </c>
      <c r="L21" s="15" t="str">
        <f>VLOOKUP(D:D,[3]Sheet1!$A:$G,7,0)</f>
        <v xml:space="preserve">Three Layer </v>
      </c>
      <c r="M21" s="45"/>
      <c r="N21" s="36"/>
      <c r="O21" s="36"/>
      <c r="P21" s="55"/>
    </row>
    <row r="22" spans="1:16" ht="15.75" x14ac:dyDescent="0.25">
      <c r="A22" s="8">
        <v>17</v>
      </c>
      <c r="B22" s="9" t="s">
        <v>36</v>
      </c>
      <c r="C22" s="9" t="s">
        <v>31</v>
      </c>
      <c r="D22" s="10">
        <v>11338</v>
      </c>
      <c r="E22" s="11" t="str">
        <f>VLOOKUP(D:D,'[1]Production Plan '!$B$7:$C$426,2,0)</f>
        <v>160 mm UPVC Pipe SWR- Special</v>
      </c>
      <c r="F22" s="12" t="str">
        <f>VLOOKUP(D22,'[2]Production Plan '!$B$7:$G$398,6,0)</f>
        <v>White</v>
      </c>
      <c r="G22" s="13">
        <v>137</v>
      </c>
      <c r="H22" s="14">
        <f>VLOOKUP(D:D,'[1]Production Plan '!$B:$F,5,0)</f>
        <v>16.2</v>
      </c>
      <c r="I22" s="13">
        <v>53</v>
      </c>
      <c r="J22" s="16">
        <f>I22/(K22)</f>
        <v>2.3323358563633163E-2</v>
      </c>
      <c r="K22" s="9">
        <f t="shared" si="0"/>
        <v>2272.4</v>
      </c>
      <c r="L22" s="15" t="str">
        <f>VLOOKUP(D:D,[3]Sheet1!$A:$G,7,0)</f>
        <v>Economy- White</v>
      </c>
      <c r="M22" s="45"/>
      <c r="N22" s="17">
        <v>12</v>
      </c>
      <c r="O22" s="17">
        <f t="shared" si="1"/>
        <v>0</v>
      </c>
      <c r="P22" s="18"/>
    </row>
    <row r="23" spans="1:16" ht="15.75" x14ac:dyDescent="0.25">
      <c r="A23" s="8">
        <v>18</v>
      </c>
      <c r="B23" s="9" t="s">
        <v>38</v>
      </c>
      <c r="C23" s="9" t="s">
        <v>79</v>
      </c>
      <c r="D23" s="10">
        <v>11309</v>
      </c>
      <c r="E23" s="11" t="str">
        <f>VLOOKUP(D:D,'[1]Production Plan '!$B$7:$C$426,2,0)</f>
        <v>110mm Dia UPVC Pipe ISO-2</v>
      </c>
      <c r="F23" s="12" t="str">
        <f>VLOOKUP(D23,'[2]Production Plan '!$B$7:$G$398,6,0)</f>
        <v>White</v>
      </c>
      <c r="G23" s="13">
        <v>207</v>
      </c>
      <c r="H23" s="14">
        <f>VLOOKUP(D:D,'[1]Production Plan '!$B:$F,5,0)</f>
        <v>11</v>
      </c>
      <c r="I23" s="13"/>
      <c r="J23" s="16">
        <f t="shared" ref="J23:J29" si="3">I23/(K23)</f>
        <v>0</v>
      </c>
      <c r="K23" s="9">
        <f t="shared" si="0"/>
        <v>2277</v>
      </c>
      <c r="L23" s="15" t="str">
        <f>VLOOKUP(D:D,[3]Sheet1!$A:$G,7,0)</f>
        <v>SWR-White</v>
      </c>
      <c r="M23" s="45"/>
      <c r="N23" s="17">
        <v>12</v>
      </c>
      <c r="O23" s="17">
        <f t="shared" si="1"/>
        <v>0</v>
      </c>
      <c r="P23" s="56"/>
    </row>
    <row r="24" spans="1:16" ht="63" x14ac:dyDescent="0.25">
      <c r="A24" s="8">
        <v>19</v>
      </c>
      <c r="B24" s="9" t="s">
        <v>39</v>
      </c>
      <c r="C24" s="9" t="s">
        <v>37</v>
      </c>
      <c r="D24" s="10">
        <v>11130</v>
      </c>
      <c r="E24" s="11" t="str">
        <f>VLOOKUP(D:D,'[1]Production Plan '!$B$7:$C$426,2,0)</f>
        <v>2 Inch Dia UPVC Pipe Class D</v>
      </c>
      <c r="F24" s="12" t="str">
        <f>VLOOKUP(D24,'[2]Production Plan '!$B$7:$G$398,6,0)</f>
        <v>Grey</v>
      </c>
      <c r="G24" s="13">
        <v>380</v>
      </c>
      <c r="H24" s="14">
        <f>VLOOKUP(D:D,'[1]Production Plan '!$B:$F,5,0)</f>
        <v>4.0999999999999996</v>
      </c>
      <c r="I24" s="13">
        <v>126</v>
      </c>
      <c r="J24" s="16">
        <f t="shared" si="3"/>
        <v>7.4821852731591462E-2</v>
      </c>
      <c r="K24" s="9">
        <f t="shared" si="0"/>
        <v>1683.9999999999998</v>
      </c>
      <c r="L24" s="15" t="str">
        <f>VLOOKUP(D:D,[3]Sheet1!$A:$G,7,0)</f>
        <v>SBS-Grey</v>
      </c>
      <c r="M24" s="45"/>
      <c r="N24" s="17">
        <v>10.5</v>
      </c>
      <c r="O24" s="17">
        <f t="shared" si="1"/>
        <v>1.5</v>
      </c>
      <c r="P24" s="18" t="s">
        <v>80</v>
      </c>
    </row>
    <row r="25" spans="1:16" ht="31.5" x14ac:dyDescent="0.25">
      <c r="A25" s="8">
        <v>20</v>
      </c>
      <c r="B25" s="9" t="s">
        <v>40</v>
      </c>
      <c r="C25" s="9" t="s">
        <v>21</v>
      </c>
      <c r="D25" s="10">
        <v>12537</v>
      </c>
      <c r="E25" s="11" t="str">
        <f>VLOOKUP(D:D,'[1]Production Plan '!$B$7:$C$426,2,0)</f>
        <v>80mm Dia Upvc Pipe SWR-Special (White)</v>
      </c>
      <c r="F25" s="12" t="str">
        <f>VLOOKUP(D25,'[2]Production Plan '!$B$7:$G$398,6,0)</f>
        <v>White</v>
      </c>
      <c r="G25" s="13">
        <v>331</v>
      </c>
      <c r="H25" s="14">
        <f>VLOOKUP(D:D,'[1]Production Plan '!$B:$F,5,0)</f>
        <v>5.4</v>
      </c>
      <c r="I25" s="13">
        <v>260</v>
      </c>
      <c r="J25" s="16">
        <f t="shared" si="3"/>
        <v>0.12699032919800723</v>
      </c>
      <c r="K25" s="9">
        <f t="shared" si="0"/>
        <v>2047.4</v>
      </c>
      <c r="L25" s="15"/>
      <c r="M25" s="45"/>
      <c r="N25" s="17">
        <v>9</v>
      </c>
      <c r="O25" s="17">
        <f t="shared" si="1"/>
        <v>3</v>
      </c>
      <c r="P25" s="18" t="s">
        <v>48</v>
      </c>
    </row>
    <row r="26" spans="1:16" ht="31.5" x14ac:dyDescent="0.25">
      <c r="A26" s="8">
        <v>21</v>
      </c>
      <c r="B26" s="9" t="s">
        <v>41</v>
      </c>
      <c r="C26" s="9"/>
      <c r="D26" s="10">
        <v>11503</v>
      </c>
      <c r="E26" s="11" t="str">
        <f>VLOOKUP(D:D,'[1]Production Plan '!$B$7:$C$426,2,0)</f>
        <v>1 Inch Dia UPVC Thread Pipe</v>
      </c>
      <c r="F26" s="12" t="str">
        <f>VLOOKUP(D26,'[2]Production Plan '!$B$7:$G$398,6,0)</f>
        <v>Green</v>
      </c>
      <c r="G26" s="13">
        <v>0</v>
      </c>
      <c r="H26" s="14">
        <f>VLOOKUP(D:D,'[1]Production Plan '!$B:$F,5,0)</f>
        <v>1.65</v>
      </c>
      <c r="I26" s="13"/>
      <c r="J26" s="16" t="e">
        <f t="shared" si="3"/>
        <v>#DIV/0!</v>
      </c>
      <c r="K26" s="9">
        <f t="shared" si="0"/>
        <v>0</v>
      </c>
      <c r="L26" s="15" t="str">
        <f>VLOOKUP(D:D,[3]Sheet1!$A:$G,7,0)</f>
        <v>Thread-Green</v>
      </c>
      <c r="M26" s="45"/>
      <c r="N26" s="17">
        <v>0</v>
      </c>
      <c r="O26" s="17">
        <f t="shared" si="1"/>
        <v>12</v>
      </c>
      <c r="P26" s="18" t="s">
        <v>71</v>
      </c>
    </row>
    <row r="27" spans="1:16" ht="15.75" x14ac:dyDescent="0.25">
      <c r="A27" s="8">
        <v>22</v>
      </c>
      <c r="B27" s="9" t="s">
        <v>42</v>
      </c>
      <c r="C27" s="9" t="s">
        <v>46</v>
      </c>
      <c r="D27" s="10">
        <v>12570</v>
      </c>
      <c r="E27" s="11" t="str">
        <f>VLOOKUP(D:D,'[1]Production Plan '!$B$7:$C$426,2,0)</f>
        <v>1 Inc HDPE Coil Pipe-Green</v>
      </c>
      <c r="F27" s="12" t="str">
        <f>VLOOKUP(D27,'[2]Production Plan '!$B$7:$G$398,6,0)</f>
        <v>Green</v>
      </c>
      <c r="G27" s="13">
        <v>25</v>
      </c>
      <c r="H27" s="14">
        <f>VLOOKUP(D:D,'[1]Production Plan '!$B:$F,5,0)</f>
        <v>35</v>
      </c>
      <c r="I27" s="13">
        <v>60</v>
      </c>
      <c r="J27" s="16">
        <f t="shared" si="3"/>
        <v>6.4171122994652413E-2</v>
      </c>
      <c r="K27" s="9">
        <f t="shared" si="0"/>
        <v>935</v>
      </c>
      <c r="L27" s="15" t="str">
        <f>VLOOKUP(D:D,[3]Sheet1!$A:$G,7,0)</f>
        <v>HDPE D/L Green</v>
      </c>
      <c r="M27" s="45"/>
      <c r="N27" s="17">
        <v>12</v>
      </c>
      <c r="O27" s="17">
        <f t="shared" si="1"/>
        <v>0</v>
      </c>
      <c r="P27" s="18"/>
    </row>
    <row r="28" spans="1:16" ht="78.75" x14ac:dyDescent="0.25">
      <c r="A28" s="8">
        <v>23</v>
      </c>
      <c r="B28" s="9" t="s">
        <v>43</v>
      </c>
      <c r="C28" s="9" t="s">
        <v>81</v>
      </c>
      <c r="D28" s="10">
        <v>11317</v>
      </c>
      <c r="E28" s="11" t="str">
        <f>VLOOKUP(D:D,'[1]Production Plan '!$B$7:$C$426,2,0)</f>
        <v>110mm Dia Upvc Pipe SWR-1 Special (White)</v>
      </c>
      <c r="F28" s="12" t="str">
        <f>VLOOKUP(D28,'[2]Production Plan '!$B$7:$G$398,6,0)</f>
        <v>White</v>
      </c>
      <c r="G28" s="13">
        <v>478</v>
      </c>
      <c r="H28" s="14">
        <f>VLOOKUP(D:D,'[1]Production Plan '!$B:$F,5,0)</f>
        <v>10</v>
      </c>
      <c r="I28" s="13">
        <v>300</v>
      </c>
      <c r="J28" s="16">
        <f t="shared" si="3"/>
        <v>5.905511811023622E-2</v>
      </c>
      <c r="K28" s="9">
        <f t="shared" si="0"/>
        <v>5080</v>
      </c>
      <c r="L28" s="15" t="str">
        <f>VLOOKUP(D:D,[3]Sheet1!$A:$G,7,0)</f>
        <v>SWR-White</v>
      </c>
      <c r="M28" s="45"/>
      <c r="N28" s="17">
        <v>9</v>
      </c>
      <c r="O28" s="17">
        <f t="shared" si="1"/>
        <v>3</v>
      </c>
      <c r="P28" s="18" t="s">
        <v>82</v>
      </c>
    </row>
    <row r="29" spans="1:16" ht="47.25" x14ac:dyDescent="0.25">
      <c r="A29" s="8">
        <v>24</v>
      </c>
      <c r="B29" s="9" t="s">
        <v>44</v>
      </c>
      <c r="C29" s="9" t="s">
        <v>46</v>
      </c>
      <c r="D29" s="10">
        <v>13387</v>
      </c>
      <c r="E29" s="11" t="str">
        <f>VLOOKUP(D:D,'[1]Production Plan '!$B$7:$C$426,2,0)</f>
        <v>CPVC Pipe 3/4''(20mm)X3M-SDR-13.5</v>
      </c>
      <c r="F29" s="12" t="str">
        <f>VLOOKUP(D29,'[2]Production Plan '!$B$7:$G$398,6,0)</f>
        <v>Off White</v>
      </c>
      <c r="G29" s="13">
        <v>1160</v>
      </c>
      <c r="H29" s="14">
        <f>VLOOKUP(D:D,'[1]Production Plan '!$B:$F,5,0)</f>
        <v>0.55000000000000004</v>
      </c>
      <c r="I29" s="13">
        <v>25</v>
      </c>
      <c r="J29" s="16">
        <f t="shared" si="3"/>
        <v>3.7707390648567117E-2</v>
      </c>
      <c r="K29" s="9">
        <f t="shared" si="0"/>
        <v>663</v>
      </c>
      <c r="L29" s="15" t="str">
        <f>VLOOKUP(D:D,[3]Sheet1!$A:$G,7,0)</f>
        <v>Com..</v>
      </c>
      <c r="M29" s="45"/>
      <c r="N29" s="17">
        <v>11</v>
      </c>
      <c r="O29" s="17">
        <f t="shared" si="1"/>
        <v>1</v>
      </c>
      <c r="P29" s="18" t="s">
        <v>83</v>
      </c>
    </row>
    <row r="30" spans="1:16" ht="15.75" x14ac:dyDescent="0.25">
      <c r="A30" s="8"/>
      <c r="B30" s="9"/>
      <c r="C30" s="9"/>
      <c r="D30" s="9"/>
      <c r="E30" s="11"/>
      <c r="F30" s="12"/>
      <c r="G30" s="7"/>
      <c r="H30" s="14"/>
      <c r="I30" s="21">
        <f>SUM(I6:I29)</f>
        <v>1600</v>
      </c>
      <c r="J30" s="21"/>
      <c r="K30" s="21">
        <f>SUM(K6:K29)</f>
        <v>25085</v>
      </c>
      <c r="L30" s="15"/>
      <c r="M30" s="45"/>
      <c r="N30" s="17"/>
      <c r="O30" s="17"/>
      <c r="P30" s="9"/>
    </row>
  </sheetData>
  <mergeCells count="24">
    <mergeCell ref="N13:N14"/>
    <mergeCell ref="O13:O14"/>
    <mergeCell ref="P13:P14"/>
    <mergeCell ref="I20:I21"/>
    <mergeCell ref="J20:J21"/>
    <mergeCell ref="N20:N21"/>
    <mergeCell ref="O20:O21"/>
    <mergeCell ref="P20:P21"/>
    <mergeCell ref="N7:N9"/>
    <mergeCell ref="O7:O9"/>
    <mergeCell ref="P7:P9"/>
    <mergeCell ref="I11:I12"/>
    <mergeCell ref="J11:J12"/>
    <mergeCell ref="N11:N12"/>
    <mergeCell ref="O11:O12"/>
    <mergeCell ref="P11:P12"/>
    <mergeCell ref="F1:J1"/>
    <mergeCell ref="F2:J2"/>
    <mergeCell ref="F3:L3"/>
    <mergeCell ref="M6:M30"/>
    <mergeCell ref="I7:I9"/>
    <mergeCell ref="J7:J9"/>
    <mergeCell ref="I13:I14"/>
    <mergeCell ref="J13:J14"/>
  </mergeCells>
  <conditionalFormatting sqref="E6:E30">
    <cfRule type="duplicateValues" dxfId="37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31"/>
  <sheetViews>
    <sheetView workbookViewId="0">
      <selection activeCell="E30" sqref="E30"/>
    </sheetView>
  </sheetViews>
  <sheetFormatPr defaultRowHeight="15" x14ac:dyDescent="0.25"/>
  <cols>
    <col min="11" max="11" width="9.5703125" bestFit="1" customWidth="1"/>
  </cols>
  <sheetData>
    <row r="1" spans="1:16" ht="15.75" x14ac:dyDescent="0.25">
      <c r="A1" s="32"/>
      <c r="B1" s="32"/>
      <c r="C1" s="32"/>
      <c r="D1" s="32"/>
      <c r="E1" s="32"/>
      <c r="F1" s="43" t="s">
        <v>0</v>
      </c>
      <c r="G1" s="43"/>
      <c r="H1" s="43"/>
      <c r="I1" s="43"/>
      <c r="J1" s="43"/>
      <c r="K1" s="32"/>
      <c r="L1" s="32"/>
      <c r="M1" s="32"/>
      <c r="N1" s="32"/>
      <c r="O1" s="32"/>
      <c r="P1" s="32"/>
    </row>
    <row r="2" spans="1:16" ht="15.75" x14ac:dyDescent="0.25">
      <c r="A2" s="32"/>
      <c r="B2" s="1"/>
      <c r="C2" s="2"/>
      <c r="D2" s="32"/>
      <c r="E2" s="32"/>
      <c r="F2" s="43" t="s">
        <v>1</v>
      </c>
      <c r="G2" s="43"/>
      <c r="H2" s="43"/>
      <c r="I2" s="43"/>
      <c r="J2" s="43"/>
      <c r="K2" s="32"/>
      <c r="L2" s="32"/>
      <c r="M2" s="32"/>
      <c r="N2" s="3"/>
      <c r="O2" s="32"/>
      <c r="P2" s="32"/>
    </row>
    <row r="3" spans="1:16" ht="15.75" x14ac:dyDescent="0.25">
      <c r="A3" s="32"/>
      <c r="B3" s="32"/>
      <c r="C3" s="32"/>
      <c r="D3" s="32"/>
      <c r="E3" s="32"/>
      <c r="F3" s="44" t="s">
        <v>2</v>
      </c>
      <c r="G3" s="44"/>
      <c r="H3" s="44"/>
      <c r="I3" s="44"/>
      <c r="J3" s="44"/>
      <c r="K3" s="44"/>
      <c r="L3" s="44"/>
      <c r="M3" s="32"/>
      <c r="N3" s="32"/>
      <c r="O3" s="32"/>
      <c r="P3" s="32"/>
    </row>
    <row r="4" spans="1:16" ht="15.75" x14ac:dyDescent="0.25">
      <c r="A4" s="32"/>
      <c r="B4" s="32"/>
      <c r="C4" s="32"/>
      <c r="D4" s="32"/>
      <c r="E4" s="4" t="s">
        <v>84</v>
      </c>
      <c r="F4" s="32"/>
      <c r="G4" s="32"/>
      <c r="H4" s="32"/>
      <c r="I4" s="32"/>
      <c r="J4" s="32"/>
      <c r="K4" s="32"/>
      <c r="L4" s="5"/>
      <c r="M4" s="32"/>
      <c r="N4" s="32"/>
      <c r="O4" s="32"/>
      <c r="P4" s="6"/>
    </row>
    <row r="5" spans="1:16" ht="78.75" x14ac:dyDescent="0.25">
      <c r="A5" s="7" t="s">
        <v>3</v>
      </c>
      <c r="B5" s="7" t="s">
        <v>4</v>
      </c>
      <c r="C5" s="7" t="s">
        <v>5</v>
      </c>
      <c r="D5" s="7" t="s">
        <v>6</v>
      </c>
      <c r="E5" s="7" t="s">
        <v>7</v>
      </c>
      <c r="F5" s="7" t="s">
        <v>8</v>
      </c>
      <c r="G5" s="7" t="s">
        <v>9</v>
      </c>
      <c r="H5" s="7" t="s">
        <v>10</v>
      </c>
      <c r="I5" s="7" t="s">
        <v>11</v>
      </c>
      <c r="J5" s="7" t="s">
        <v>12</v>
      </c>
      <c r="K5" s="7" t="s">
        <v>13</v>
      </c>
      <c r="L5" s="7" t="s">
        <v>14</v>
      </c>
      <c r="M5" s="7" t="s">
        <v>15</v>
      </c>
      <c r="N5" s="7" t="s">
        <v>16</v>
      </c>
      <c r="O5" s="7" t="s">
        <v>17</v>
      </c>
      <c r="P5" s="7" t="s">
        <v>18</v>
      </c>
    </row>
    <row r="6" spans="1:16" ht="31.5" x14ac:dyDescent="0.25">
      <c r="A6" s="8">
        <v>1</v>
      </c>
      <c r="B6" s="9" t="s">
        <v>19</v>
      </c>
      <c r="C6" s="9"/>
      <c r="D6" s="10">
        <v>11141</v>
      </c>
      <c r="E6" s="11" t="str">
        <f>VLOOKUP(D:D,'[1]Production Plan '!$B$7:$C$426,2,0)</f>
        <v>4 Inch Upvc Pipe Star (Gray 20 Ft )</v>
      </c>
      <c r="F6" s="12" t="str">
        <f>VLOOKUP(D6,'[2]Production Plan '!$B$7:$G$398,6,0)</f>
        <v>Grey</v>
      </c>
      <c r="G6" s="13">
        <v>0</v>
      </c>
      <c r="H6" s="14">
        <f>VLOOKUP(D:D,'[1]Production Plan '!$B:$F,5,0)</f>
        <v>12.5</v>
      </c>
      <c r="I6" s="13">
        <v>0</v>
      </c>
      <c r="J6" s="16" t="e">
        <f>I6/(K6)</f>
        <v>#DIV/0!</v>
      </c>
      <c r="K6" s="9">
        <f>G6*H6+I6</f>
        <v>0</v>
      </c>
      <c r="L6" s="15" t="str">
        <f>VLOOKUP(D:D,[3]Sheet1!$A:$G,7,0)</f>
        <v>SWR-Grey</v>
      </c>
      <c r="M6" s="45">
        <f>I31/K31</f>
        <v>5.3376897508269371E-2</v>
      </c>
      <c r="N6" s="17">
        <v>0</v>
      </c>
      <c r="O6" s="17">
        <f>12-N6</f>
        <v>12</v>
      </c>
      <c r="P6" s="18" t="s">
        <v>71</v>
      </c>
    </row>
    <row r="7" spans="1:16" ht="15.75" x14ac:dyDescent="0.25">
      <c r="A7" s="8">
        <v>2</v>
      </c>
      <c r="B7" s="9" t="s">
        <v>22</v>
      </c>
      <c r="C7" s="9" t="s">
        <v>23</v>
      </c>
      <c r="D7" s="10">
        <v>11188</v>
      </c>
      <c r="E7" s="11" t="str">
        <f>VLOOKUP(D:D,'[1]Production Plan '!$B$7:$C$426,2,0)</f>
        <v>12 Inch Dia Upvc Pipe Class-E</v>
      </c>
      <c r="F7" s="12" t="str">
        <f>VLOOKUP(D7,'[2]Production Plan '!$B$7:$G$398,6,0)</f>
        <v>Grey</v>
      </c>
      <c r="G7" s="13">
        <v>25</v>
      </c>
      <c r="H7" s="14">
        <f>VLOOKUP(D:D,'[1]Production Plan '!$B:$F,5,0)</f>
        <v>184</v>
      </c>
      <c r="I7" s="46">
        <v>131</v>
      </c>
      <c r="J7" s="41">
        <f>I7/(K7+K9+K8)</f>
        <v>2.7161517727555463E-2</v>
      </c>
      <c r="K7" s="9">
        <f t="shared" ref="K7:K30" si="0">G7*H7+I7</f>
        <v>4731</v>
      </c>
      <c r="L7" s="15" t="str">
        <f>VLOOKUP(D:D,[3]Sheet1!$A:$G,7,0)</f>
        <v>SBS-Grey</v>
      </c>
      <c r="M7" s="45"/>
      <c r="N7" s="35">
        <v>12</v>
      </c>
      <c r="O7" s="35">
        <f t="shared" ref="O7:O30" si="1">12-N7</f>
        <v>0</v>
      </c>
      <c r="P7" s="37"/>
    </row>
    <row r="8" spans="1:16" ht="15.75" x14ac:dyDescent="0.25">
      <c r="A8" s="8">
        <v>3</v>
      </c>
      <c r="B8" s="9" t="s">
        <v>22</v>
      </c>
      <c r="C8" s="9" t="s">
        <v>21</v>
      </c>
      <c r="D8" s="10">
        <v>12477</v>
      </c>
      <c r="E8" s="11" t="str">
        <f>VLOOKUP(D:D,'[1]Production Plan '!$B$7:$C$426,2,0)</f>
        <v>250mm Dia UPVC Cassing Pipe (Grey)</v>
      </c>
      <c r="F8" s="12" t="str">
        <f>VLOOKUP(D8,'[2]Production Plan '!$B$7:$G$398,6,0)</f>
        <v>Grey</v>
      </c>
      <c r="G8" s="13">
        <v>0</v>
      </c>
      <c r="H8" s="14">
        <f>VLOOKUP(D:D,'[1]Production Plan '!$B:$F,5,0)</f>
        <v>38.5</v>
      </c>
      <c r="I8" s="48"/>
      <c r="J8" s="49"/>
      <c r="K8" s="9">
        <f t="shared" si="0"/>
        <v>0</v>
      </c>
      <c r="L8" s="15" t="str">
        <f>VLOOKUP(D:D,[3]Sheet1!$A:$G,7,0)</f>
        <v>SWR-Grey</v>
      </c>
      <c r="M8" s="45"/>
      <c r="N8" s="50"/>
      <c r="O8" s="50"/>
      <c r="P8" s="51"/>
    </row>
    <row r="9" spans="1:16" ht="15.75" x14ac:dyDescent="0.25">
      <c r="A9" s="8">
        <v>4</v>
      </c>
      <c r="B9" s="9" t="s">
        <v>22</v>
      </c>
      <c r="C9" s="9" t="s">
        <v>21</v>
      </c>
      <c r="D9" s="10">
        <v>12911</v>
      </c>
      <c r="E9" s="11" t="str">
        <f>VLOOKUP(D:D,'[1]Production Plan '!$B$7:$C$426,2,0)</f>
        <v>12 Inch Dia Upvc Filter Class-E</v>
      </c>
      <c r="F9" s="12" t="str">
        <f>VLOOKUP(D9,'[2]Production Plan '!$B$7:$G$398,6,0)</f>
        <v>Grey</v>
      </c>
      <c r="G9" s="13">
        <v>1</v>
      </c>
      <c r="H9" s="14">
        <f>VLOOKUP(D:D,'[1]Production Plan '!$B:$F,5,0)</f>
        <v>92</v>
      </c>
      <c r="I9" s="47"/>
      <c r="J9" s="42"/>
      <c r="K9" s="9">
        <f t="shared" si="0"/>
        <v>92</v>
      </c>
      <c r="L9" s="15" t="str">
        <f>VLOOKUP(D:D,[3]Sheet1!$A:$G,7,0)</f>
        <v>SBS-Grey</v>
      </c>
      <c r="M9" s="45"/>
      <c r="N9" s="36"/>
      <c r="O9" s="36"/>
      <c r="P9" s="38"/>
    </row>
    <row r="10" spans="1:16" ht="31.5" x14ac:dyDescent="0.25">
      <c r="A10" s="8">
        <v>5</v>
      </c>
      <c r="B10" s="9" t="s">
        <v>24</v>
      </c>
      <c r="C10" s="19"/>
      <c r="D10" s="10">
        <v>11105</v>
      </c>
      <c r="E10" s="11" t="str">
        <f>VLOOKUP(D:D,'[1]Production Plan '!$B$7:$C$426,2,0)</f>
        <v>1 Inch Dia Upvc Pipe Class-D</v>
      </c>
      <c r="F10" s="12" t="str">
        <f>VLOOKUP(D10,'[2]Production Plan '!$B$7:$G$398,6,0)</f>
        <v>Grey</v>
      </c>
      <c r="G10" s="13">
        <v>0</v>
      </c>
      <c r="H10" s="14">
        <f>VLOOKUP(D:D,'[1]Production Plan '!$B:$F,5,0)</f>
        <v>0.85</v>
      </c>
      <c r="I10" s="13">
        <v>0</v>
      </c>
      <c r="J10" s="16" t="e">
        <f t="shared" ref="J10:J20" si="2">I10/(K10)</f>
        <v>#DIV/0!</v>
      </c>
      <c r="K10" s="9">
        <f t="shared" si="0"/>
        <v>0</v>
      </c>
      <c r="L10" s="15" t="str">
        <f>VLOOKUP(D:D,[3]Sheet1!$A:$G,7,0)</f>
        <v>STD-Grey</v>
      </c>
      <c r="M10" s="45"/>
      <c r="N10" s="17">
        <v>0</v>
      </c>
      <c r="O10" s="17">
        <f t="shared" si="1"/>
        <v>12</v>
      </c>
      <c r="P10" s="18" t="s">
        <v>71</v>
      </c>
    </row>
    <row r="11" spans="1:16" ht="15.75" x14ac:dyDescent="0.25">
      <c r="A11" s="8">
        <v>6</v>
      </c>
      <c r="B11" s="9" t="s">
        <v>25</v>
      </c>
      <c r="C11" s="19" t="s">
        <v>20</v>
      </c>
      <c r="D11" s="10">
        <v>11506</v>
      </c>
      <c r="E11" s="11" t="str">
        <f>VLOOKUP(D:D,'[1]Production Plan '!$B$7:$C$426,2,0)</f>
        <v>2 Inch Dia UPVC Thread Pipe</v>
      </c>
      <c r="F11" s="12" t="str">
        <f>VLOOKUP(D11,'[2]Production Plan '!$B$7:$G$398,6,0)</f>
        <v>Green</v>
      </c>
      <c r="G11" s="13">
        <v>250</v>
      </c>
      <c r="H11" s="14">
        <f>VLOOKUP(D:D,'[1]Production Plan '!$B:$F,5,0)</f>
        <v>3.9</v>
      </c>
      <c r="I11" s="39">
        <v>34</v>
      </c>
      <c r="J11" s="41">
        <f>I11/(K11+K12)</f>
        <v>2.6232543785201762E-2</v>
      </c>
      <c r="K11" s="9">
        <f t="shared" si="0"/>
        <v>1009</v>
      </c>
      <c r="L11" s="15" t="str">
        <f>VLOOKUP(D:D,[3]Sheet1!$A:$G,7,0)</f>
        <v>Thread-Green</v>
      </c>
      <c r="M11" s="45"/>
      <c r="N11" s="35">
        <v>9</v>
      </c>
      <c r="O11" s="35">
        <f t="shared" si="1"/>
        <v>3</v>
      </c>
      <c r="P11" s="37" t="s">
        <v>85</v>
      </c>
    </row>
    <row r="12" spans="1:16" ht="15.75" x14ac:dyDescent="0.25">
      <c r="A12" s="8">
        <v>7</v>
      </c>
      <c r="B12" s="9" t="s">
        <v>25</v>
      </c>
      <c r="C12" s="19" t="s">
        <v>21</v>
      </c>
      <c r="D12" s="10">
        <v>11505</v>
      </c>
      <c r="E12" s="11" t="str">
        <f>VLOOKUP(D:D,'[1]Production Plan '!$B$7:$C$426,2,0)</f>
        <v>1.5 Inch Dia UPVC Thread Pipe</v>
      </c>
      <c r="F12" s="12" t="str">
        <f>VLOOKUP(D12,'[2]Production Plan '!$B$7:$G$398,6,0)</f>
        <v>Green</v>
      </c>
      <c r="G12" s="13">
        <v>99</v>
      </c>
      <c r="H12" s="14">
        <f>VLOOKUP(D:D,'[1]Production Plan '!$B:$F,5,0)</f>
        <v>2.9</v>
      </c>
      <c r="I12" s="40"/>
      <c r="J12" s="42"/>
      <c r="K12" s="9">
        <f t="shared" si="0"/>
        <v>287.09999999999997</v>
      </c>
      <c r="L12" s="15" t="str">
        <f>VLOOKUP(D:D,[3]Sheet1!$A:$G,7,0)</f>
        <v>Thread-Green</v>
      </c>
      <c r="M12" s="45"/>
      <c r="N12" s="36"/>
      <c r="O12" s="36"/>
      <c r="P12" s="38"/>
    </row>
    <row r="13" spans="1:16" ht="15.75" x14ac:dyDescent="0.25">
      <c r="A13" s="8">
        <v>8</v>
      </c>
      <c r="B13" s="22" t="s">
        <v>26</v>
      </c>
      <c r="C13" s="9" t="s">
        <v>27</v>
      </c>
      <c r="D13" s="10">
        <v>11108</v>
      </c>
      <c r="E13" s="11" t="str">
        <f>VLOOKUP(D:D,'[1]Production Plan '!$B$7:$C$426,2,0)</f>
        <v>1.5 Inch Dia UPVC Pipe Class-Economy</v>
      </c>
      <c r="F13" s="12" t="str">
        <f>VLOOKUP(D13,'[2]Production Plan '!$B$7:$G$398,6,0)</f>
        <v>White</v>
      </c>
      <c r="G13" s="13">
        <v>90</v>
      </c>
      <c r="H13" s="14">
        <f>VLOOKUP(D:D,'[1]Production Plan '!$B:$F,5,0)</f>
        <v>1.8</v>
      </c>
      <c r="I13" s="39">
        <v>210</v>
      </c>
      <c r="J13" s="41">
        <f>I13/(K13+K14)</f>
        <v>0.44967880085653106</v>
      </c>
      <c r="K13" s="9">
        <f t="shared" si="0"/>
        <v>372</v>
      </c>
      <c r="L13" s="15" t="str">
        <f>VLOOKUP(D:D,[3]Sheet1!$A:$G,7,0)</f>
        <v>Economy- White</v>
      </c>
      <c r="M13" s="45"/>
      <c r="N13" s="35">
        <v>9</v>
      </c>
      <c r="O13" s="35">
        <f t="shared" si="1"/>
        <v>3</v>
      </c>
      <c r="P13" s="52" t="s">
        <v>85</v>
      </c>
    </row>
    <row r="14" spans="1:16" ht="15.75" x14ac:dyDescent="0.25">
      <c r="A14" s="8">
        <v>9</v>
      </c>
      <c r="B14" s="22" t="s">
        <v>26</v>
      </c>
      <c r="C14" s="9" t="s">
        <v>21</v>
      </c>
      <c r="D14" s="10">
        <v>13422</v>
      </c>
      <c r="E14" s="11" t="str">
        <f>VLOOKUP(D:D,'[1]Production Plan '!$B$7:$C$426,2,0)</f>
        <v>1.5 Inch x 10Ft uPVC Cless-D Rib Filter (Gray)</v>
      </c>
      <c r="F14" s="12" t="str">
        <f>VLOOKUP(D14,'[2]Production Plan '!$B$7:$G$398,6,0)</f>
        <v>Grey</v>
      </c>
      <c r="G14" s="13">
        <v>50</v>
      </c>
      <c r="H14" s="14">
        <f>VLOOKUP(D:D,'[1]Production Plan '!$B:$F,5,0)</f>
        <v>1.9</v>
      </c>
      <c r="I14" s="40"/>
      <c r="J14" s="42"/>
      <c r="K14" s="9">
        <f t="shared" si="0"/>
        <v>95</v>
      </c>
      <c r="L14" s="15" t="e">
        <f>VLOOKUP(D:D,[3]Sheet1!$A:$G,7,0)</f>
        <v>#N/A</v>
      </c>
      <c r="M14" s="45"/>
      <c r="N14" s="36"/>
      <c r="O14" s="36"/>
      <c r="P14" s="53"/>
    </row>
    <row r="15" spans="1:16" ht="15.75" x14ac:dyDescent="0.25">
      <c r="A15" s="8">
        <v>10</v>
      </c>
      <c r="B15" s="22" t="s">
        <v>28</v>
      </c>
      <c r="C15" s="20" t="s">
        <v>21</v>
      </c>
      <c r="D15" s="10">
        <v>11302</v>
      </c>
      <c r="E15" s="11" t="str">
        <f>VLOOKUP(D:D,'[1]Production Plan '!$B$7:$C$426,2,0)</f>
        <v>40 mm Dia UPVC Pipe Class ISO</v>
      </c>
      <c r="F15" s="12" t="str">
        <f>VLOOKUP(D15,'[2]Production Plan '!$B$7:$G$398,6,0)</f>
        <v>White</v>
      </c>
      <c r="G15" s="13">
        <v>600</v>
      </c>
      <c r="H15" s="14">
        <f>VLOOKUP(D:D,'[1]Production Plan '!$B:$F,5,0)</f>
        <v>1.3</v>
      </c>
      <c r="I15" s="13">
        <v>0</v>
      </c>
      <c r="J15" s="16">
        <f t="shared" si="2"/>
        <v>0</v>
      </c>
      <c r="K15" s="9">
        <f t="shared" si="0"/>
        <v>780</v>
      </c>
      <c r="L15" s="15"/>
      <c r="M15" s="45"/>
      <c r="N15" s="17">
        <v>12</v>
      </c>
      <c r="O15" s="17">
        <f t="shared" si="1"/>
        <v>0</v>
      </c>
      <c r="P15" s="18"/>
    </row>
    <row r="16" spans="1:16" ht="15.75" x14ac:dyDescent="0.25">
      <c r="A16" s="8">
        <v>11</v>
      </c>
      <c r="B16" s="9" t="s">
        <v>30</v>
      </c>
      <c r="C16" s="9" t="s">
        <v>20</v>
      </c>
      <c r="D16" s="10">
        <v>13401</v>
      </c>
      <c r="E16" s="11" t="str">
        <f>VLOOKUP(D:D,'[1]Production Plan '!$B$7:$C$426,2,0)</f>
        <v>75mm Dia Upvc PN-12.5 Pipe</v>
      </c>
      <c r="F16" s="12" t="str">
        <f>VLOOKUP(D16,'[2]Production Plan '!$B$7:$G$398,6,0)</f>
        <v>White</v>
      </c>
      <c r="G16" s="13">
        <v>0</v>
      </c>
      <c r="H16" s="14">
        <f>VLOOKUP(D:D,'[1]Production Plan '!$B:$F,5,0)</f>
        <v>11.52</v>
      </c>
      <c r="I16" s="39">
        <v>131</v>
      </c>
      <c r="J16" s="41">
        <f t="shared" si="2"/>
        <v>1</v>
      </c>
      <c r="K16" s="9">
        <f t="shared" si="0"/>
        <v>131</v>
      </c>
      <c r="L16" s="15" t="s">
        <v>78</v>
      </c>
      <c r="M16" s="45"/>
      <c r="N16" s="35">
        <v>9</v>
      </c>
      <c r="O16" s="35">
        <f t="shared" si="1"/>
        <v>3</v>
      </c>
      <c r="P16" s="37" t="s">
        <v>86</v>
      </c>
    </row>
    <row r="17" spans="1:16" ht="15.75" x14ac:dyDescent="0.25">
      <c r="A17" s="8">
        <v>12</v>
      </c>
      <c r="B17" s="9" t="s">
        <v>30</v>
      </c>
      <c r="C17" s="9" t="s">
        <v>21</v>
      </c>
      <c r="D17" s="10">
        <v>11309</v>
      </c>
      <c r="E17" s="11" t="str">
        <f>VLOOKUP(D:D,'[1]Production Plan '!$B$7:$C$426,2,0)</f>
        <v>110mm Dia UPVC Pipe ISO-2</v>
      </c>
      <c r="F17" s="12" t="str">
        <f>VLOOKUP(D17,'[2]Production Plan '!$B$7:$G$398,6,0)</f>
        <v>White</v>
      </c>
      <c r="G17" s="13">
        <v>70</v>
      </c>
      <c r="H17" s="14">
        <f>VLOOKUP(D:D,'[1]Production Plan '!$B:$F,5,0)</f>
        <v>11</v>
      </c>
      <c r="I17" s="40"/>
      <c r="J17" s="42"/>
      <c r="K17" s="9">
        <f t="shared" si="0"/>
        <v>770</v>
      </c>
      <c r="L17" s="15" t="s">
        <v>78</v>
      </c>
      <c r="M17" s="45"/>
      <c r="N17" s="36"/>
      <c r="O17" s="36"/>
      <c r="P17" s="38"/>
    </row>
    <row r="18" spans="1:16" ht="31.5" x14ac:dyDescent="0.25">
      <c r="A18" s="8">
        <v>13</v>
      </c>
      <c r="B18" s="9" t="s">
        <v>32</v>
      </c>
      <c r="C18" s="9"/>
      <c r="D18" s="10">
        <v>11335</v>
      </c>
      <c r="E18" s="11" t="str">
        <f>VLOOKUP(D:D,'[1]Production Plan '!$B$7:$C$426,2,0)</f>
        <v>160mm Dia Upvc PN-8 Pipe</v>
      </c>
      <c r="F18" s="12" t="str">
        <f>VLOOKUP(D18,'[2]Production Plan '!$B$7:$G$398,6,0)</f>
        <v>White</v>
      </c>
      <c r="G18" s="13">
        <v>0</v>
      </c>
      <c r="H18" s="14">
        <f>VLOOKUP(D:D,'[1]Production Plan '!$B:$F,5,0)</f>
        <v>26.6</v>
      </c>
      <c r="I18" s="13">
        <v>0</v>
      </c>
      <c r="J18" s="16" t="e">
        <f t="shared" si="2"/>
        <v>#DIV/0!</v>
      </c>
      <c r="K18" s="9">
        <f t="shared" si="0"/>
        <v>0</v>
      </c>
      <c r="L18" s="15" t="str">
        <f>VLOOKUP(D:D,[3]Sheet1!$A:$G,7,0)</f>
        <v>STD-White</v>
      </c>
      <c r="M18" s="45"/>
      <c r="N18" s="17">
        <v>0</v>
      </c>
      <c r="O18" s="17">
        <f t="shared" si="1"/>
        <v>12</v>
      </c>
      <c r="P18" s="18" t="s">
        <v>71</v>
      </c>
    </row>
    <row r="19" spans="1:16" ht="15.75" x14ac:dyDescent="0.25">
      <c r="A19" s="8">
        <v>14</v>
      </c>
      <c r="B19" s="9" t="s">
        <v>33</v>
      </c>
      <c r="C19" s="20" t="s">
        <v>20</v>
      </c>
      <c r="D19" s="10">
        <v>12934</v>
      </c>
      <c r="E19" s="11" t="str">
        <f>VLOOKUP(D:D,'[1]Production Plan '!$B$7:$C$426,2,0)</f>
        <v>110 mm Dia Upvc Pipe SWR-3 SPL</v>
      </c>
      <c r="F19" s="12" t="str">
        <f>VLOOKUP(D19,'[2]Production Plan '!$B$7:$G$398,6,0)</f>
        <v>White</v>
      </c>
      <c r="G19" s="13">
        <v>149</v>
      </c>
      <c r="H19" s="14">
        <f>VLOOKUP(D:D,'[1]Production Plan '!$B:$F,5,0)</f>
        <v>12.7</v>
      </c>
      <c r="I19" s="13">
        <v>130</v>
      </c>
      <c r="J19" s="16">
        <f t="shared" si="2"/>
        <v>6.428324185333531E-2</v>
      </c>
      <c r="K19" s="9">
        <f t="shared" si="0"/>
        <v>2022.3</v>
      </c>
      <c r="L19" s="15" t="str">
        <f>VLOOKUP(D:D,[3]Sheet1!$A:$G,7,0)</f>
        <v>SWR-White</v>
      </c>
      <c r="M19" s="45"/>
      <c r="N19" s="17">
        <v>12</v>
      </c>
      <c r="O19" s="17">
        <f t="shared" si="1"/>
        <v>0</v>
      </c>
      <c r="P19" s="18"/>
    </row>
    <row r="20" spans="1:16" ht="31.5" x14ac:dyDescent="0.25">
      <c r="A20" s="8">
        <v>15</v>
      </c>
      <c r="B20" s="9" t="s">
        <v>34</v>
      </c>
      <c r="C20" s="20"/>
      <c r="D20" s="10">
        <v>11502</v>
      </c>
      <c r="E20" s="11" t="str">
        <f>VLOOKUP(D:D,'[1]Production Plan '!$B$7:$C$426,2,0)</f>
        <v>0.75 Inch Dia UPVC Thread Pipe</v>
      </c>
      <c r="F20" s="12" t="str">
        <f>VLOOKUP(D20,'[2]Production Plan '!$B$7:$G$398,6,0)</f>
        <v>Green</v>
      </c>
      <c r="G20" s="13">
        <v>0</v>
      </c>
      <c r="H20" s="14">
        <f>VLOOKUP(D:D,'[1]Production Plan '!$B:$F,5,0)</f>
        <v>1.24</v>
      </c>
      <c r="I20" s="13">
        <v>0</v>
      </c>
      <c r="J20" s="16" t="e">
        <f t="shared" si="2"/>
        <v>#DIV/0!</v>
      </c>
      <c r="K20" s="9">
        <f t="shared" si="0"/>
        <v>0</v>
      </c>
      <c r="L20" s="15" t="str">
        <f>VLOOKUP(D:D,[3]Sheet1!$A:$G,7,0)</f>
        <v>Thread-Green</v>
      </c>
      <c r="M20" s="45"/>
      <c r="N20" s="17">
        <v>0</v>
      </c>
      <c r="O20" s="17">
        <f t="shared" si="1"/>
        <v>12</v>
      </c>
      <c r="P20" s="18" t="s">
        <v>71</v>
      </c>
    </row>
    <row r="21" spans="1:16" ht="15.75" x14ac:dyDescent="0.25">
      <c r="A21" s="8">
        <v>16</v>
      </c>
      <c r="B21" s="9" t="s">
        <v>35</v>
      </c>
      <c r="C21" s="9" t="s">
        <v>87</v>
      </c>
      <c r="D21" s="10">
        <v>11391</v>
      </c>
      <c r="E21" s="11" t="str">
        <f>VLOOKUP(D:D,'[1]Production Plan '!$B$7:$C$426,2,0)</f>
        <v>4 Inch Dia UPVC Pipe Class-D SPL</v>
      </c>
      <c r="F21" s="12" t="str">
        <f>VLOOKUP(D21,'[2]Production Plan '!$B$7:$G$398,6,0)</f>
        <v>Grey</v>
      </c>
      <c r="G21" s="13">
        <v>111</v>
      </c>
      <c r="H21" s="14">
        <f>VLOOKUP(D:D,'[1]Production Plan '!$B:$F,5,0)</f>
        <v>20</v>
      </c>
      <c r="I21" s="39">
        <v>121</v>
      </c>
      <c r="J21" s="41">
        <f>I21/(K21+K22)</f>
        <v>5.1687313114053821E-2</v>
      </c>
      <c r="K21" s="9">
        <f t="shared" si="0"/>
        <v>2341</v>
      </c>
      <c r="L21" s="15" t="str">
        <f>VLOOKUP(D:D,[3]Sheet1!$A:$G,7,0)</f>
        <v>Three Layer</v>
      </c>
      <c r="M21" s="45"/>
      <c r="N21" s="35">
        <v>9</v>
      </c>
      <c r="O21" s="35">
        <f t="shared" si="1"/>
        <v>3</v>
      </c>
      <c r="P21" s="54" t="s">
        <v>88</v>
      </c>
    </row>
    <row r="22" spans="1:16" ht="15.75" x14ac:dyDescent="0.25">
      <c r="A22" s="8">
        <v>17</v>
      </c>
      <c r="B22" s="9" t="s">
        <v>35</v>
      </c>
      <c r="C22" s="9" t="s">
        <v>21</v>
      </c>
      <c r="D22" s="10">
        <v>11399</v>
      </c>
      <c r="E22" s="11" t="str">
        <f>VLOOKUP(D:D,'[1]Production Plan '!$B$7:$C$426,2,0)</f>
        <v>4 Inch Dia Upvc Pipe Class -D SPL Filter</v>
      </c>
      <c r="F22" s="12" t="str">
        <f>VLOOKUP(D22,'[2]Production Plan '!$B$7:$G$398,6,0)</f>
        <v>Grey</v>
      </c>
      <c r="G22" s="13">
        <v>0</v>
      </c>
      <c r="H22" s="14">
        <f>VLOOKUP(D:D,'[1]Production Plan '!$B:$F,5,0)</f>
        <v>10</v>
      </c>
      <c r="I22" s="40"/>
      <c r="J22" s="42"/>
      <c r="K22" s="9">
        <f t="shared" si="0"/>
        <v>0</v>
      </c>
      <c r="L22" s="15" t="str">
        <f>VLOOKUP(D:D,[3]Sheet1!$A:$G,7,0)</f>
        <v xml:space="preserve">Three Layer </v>
      </c>
      <c r="M22" s="45"/>
      <c r="N22" s="36"/>
      <c r="O22" s="36"/>
      <c r="P22" s="55"/>
    </row>
    <row r="23" spans="1:16" ht="15.75" x14ac:dyDescent="0.25">
      <c r="A23" s="8">
        <v>18</v>
      </c>
      <c r="B23" s="9" t="s">
        <v>36</v>
      </c>
      <c r="C23" s="9" t="s">
        <v>89</v>
      </c>
      <c r="D23" s="10">
        <v>11338</v>
      </c>
      <c r="E23" s="11" t="str">
        <f>VLOOKUP(D:D,'[1]Production Plan '!$B$7:$C$426,2,0)</f>
        <v>160 mm UPVC Pipe SWR- Special</v>
      </c>
      <c r="F23" s="12" t="str">
        <f>VLOOKUP(D23,'[2]Production Plan '!$B$7:$G$398,6,0)</f>
        <v>White</v>
      </c>
      <c r="G23" s="13">
        <v>135</v>
      </c>
      <c r="H23" s="14">
        <f>VLOOKUP(D:D,'[1]Production Plan '!$B:$F,5,0)</f>
        <v>16.2</v>
      </c>
      <c r="I23" s="13">
        <v>25</v>
      </c>
      <c r="J23" s="16">
        <f>I23/(K23)</f>
        <v>1.1301989150090416E-2</v>
      </c>
      <c r="K23" s="9">
        <f t="shared" si="0"/>
        <v>2212</v>
      </c>
      <c r="L23" s="15" t="str">
        <f>VLOOKUP(D:D,[3]Sheet1!$A:$G,7,0)</f>
        <v>Economy- White</v>
      </c>
      <c r="M23" s="45"/>
      <c r="N23" s="17">
        <v>12</v>
      </c>
      <c r="O23" s="17">
        <f t="shared" si="1"/>
        <v>0</v>
      </c>
      <c r="P23" s="18"/>
    </row>
    <row r="24" spans="1:16" ht="15.75" x14ac:dyDescent="0.25">
      <c r="A24" s="8">
        <v>19</v>
      </c>
      <c r="B24" s="9" t="s">
        <v>38</v>
      </c>
      <c r="C24" s="9" t="s">
        <v>21</v>
      </c>
      <c r="D24" s="10">
        <v>11309</v>
      </c>
      <c r="E24" s="11" t="str">
        <f>VLOOKUP(D:D,'[1]Production Plan '!$B$7:$C$426,2,0)</f>
        <v>110mm Dia UPVC Pipe ISO-2</v>
      </c>
      <c r="F24" s="12" t="str">
        <f>VLOOKUP(D24,'[2]Production Plan '!$B$7:$G$398,6,0)</f>
        <v>White</v>
      </c>
      <c r="G24" s="13">
        <v>211</v>
      </c>
      <c r="H24" s="14">
        <f>VLOOKUP(D:D,'[1]Production Plan '!$B:$F,5,0)</f>
        <v>11</v>
      </c>
      <c r="I24" s="13">
        <v>0</v>
      </c>
      <c r="J24" s="16">
        <f t="shared" ref="J24:J30" si="3">I24/(K24)</f>
        <v>0</v>
      </c>
      <c r="K24" s="9">
        <f t="shared" si="0"/>
        <v>2321</v>
      </c>
      <c r="L24" s="15" t="str">
        <f>VLOOKUP(D:D,[3]Sheet1!$A:$G,7,0)</f>
        <v>SWR-White</v>
      </c>
      <c r="M24" s="45"/>
      <c r="N24" s="17">
        <v>12</v>
      </c>
      <c r="O24" s="17">
        <f t="shared" si="1"/>
        <v>0</v>
      </c>
      <c r="P24" s="56"/>
    </row>
    <row r="25" spans="1:16" ht="63" x14ac:dyDescent="0.25">
      <c r="A25" s="8">
        <v>20</v>
      </c>
      <c r="B25" s="9" t="s">
        <v>39</v>
      </c>
      <c r="C25" s="9" t="s">
        <v>90</v>
      </c>
      <c r="D25" s="10">
        <v>11130</v>
      </c>
      <c r="E25" s="11" t="str">
        <f>VLOOKUP(D:D,'[1]Production Plan '!$B$7:$C$426,2,0)</f>
        <v>2 Inch Dia UPVC Pipe Class D</v>
      </c>
      <c r="F25" s="12" t="str">
        <f>VLOOKUP(D25,'[2]Production Plan '!$B$7:$G$398,6,0)</f>
        <v>Grey</v>
      </c>
      <c r="G25" s="13">
        <v>0</v>
      </c>
      <c r="H25" s="14">
        <f>VLOOKUP(D:D,'[1]Production Plan '!$B:$F,5,0)</f>
        <v>4.0999999999999996</v>
      </c>
      <c r="I25" s="13">
        <v>200</v>
      </c>
      <c r="J25" s="16">
        <f t="shared" si="3"/>
        <v>1</v>
      </c>
      <c r="K25" s="9">
        <f t="shared" si="0"/>
        <v>200</v>
      </c>
      <c r="L25" s="15" t="str">
        <f>VLOOKUP(D:D,[3]Sheet1!$A:$G,7,0)</f>
        <v>SBS-Grey</v>
      </c>
      <c r="M25" s="45"/>
      <c r="N25" s="17">
        <v>0</v>
      </c>
      <c r="O25" s="17">
        <f t="shared" si="1"/>
        <v>12</v>
      </c>
      <c r="P25" s="18" t="s">
        <v>91</v>
      </c>
    </row>
    <row r="26" spans="1:16" ht="31.5" x14ac:dyDescent="0.25">
      <c r="A26" s="8">
        <v>21</v>
      </c>
      <c r="B26" s="9" t="s">
        <v>40</v>
      </c>
      <c r="C26" s="9" t="s">
        <v>21</v>
      </c>
      <c r="D26" s="10">
        <v>12537</v>
      </c>
      <c r="E26" s="11" t="str">
        <f>VLOOKUP(D:D,'[1]Production Plan '!$B$7:$C$426,2,0)</f>
        <v>80mm Dia Upvc Pipe SWR-Special (White)</v>
      </c>
      <c r="F26" s="12" t="str">
        <f>VLOOKUP(D26,'[2]Production Plan '!$B$7:$G$398,6,0)</f>
        <v>White</v>
      </c>
      <c r="G26" s="13">
        <v>106</v>
      </c>
      <c r="H26" s="14">
        <f>VLOOKUP(D:D,'[1]Production Plan '!$B:$F,5,0)</f>
        <v>5.4</v>
      </c>
      <c r="I26" s="13">
        <v>195</v>
      </c>
      <c r="J26" s="16">
        <f t="shared" si="3"/>
        <v>0.25410476935105547</v>
      </c>
      <c r="K26" s="9">
        <f t="shared" si="0"/>
        <v>767.40000000000009</v>
      </c>
      <c r="L26" s="15"/>
      <c r="M26" s="45"/>
      <c r="N26" s="17">
        <v>10</v>
      </c>
      <c r="O26" s="17">
        <f t="shared" si="1"/>
        <v>2</v>
      </c>
      <c r="P26" s="18" t="s">
        <v>48</v>
      </c>
    </row>
    <row r="27" spans="1:16" ht="31.5" x14ac:dyDescent="0.25">
      <c r="A27" s="8">
        <v>22</v>
      </c>
      <c r="B27" s="9" t="s">
        <v>41</v>
      </c>
      <c r="C27" s="9"/>
      <c r="D27" s="10">
        <v>11503</v>
      </c>
      <c r="E27" s="11" t="str">
        <f>VLOOKUP(D:D,'[1]Production Plan '!$B$7:$C$426,2,0)</f>
        <v>1 Inch Dia UPVC Thread Pipe</v>
      </c>
      <c r="F27" s="12" t="str">
        <f>VLOOKUP(D27,'[2]Production Plan '!$B$7:$G$398,6,0)</f>
        <v>Green</v>
      </c>
      <c r="G27" s="13">
        <v>0</v>
      </c>
      <c r="H27" s="14">
        <f>VLOOKUP(D:D,'[1]Production Plan '!$B:$F,5,0)</f>
        <v>1.65</v>
      </c>
      <c r="I27" s="13">
        <v>0</v>
      </c>
      <c r="J27" s="16" t="e">
        <f t="shared" si="3"/>
        <v>#DIV/0!</v>
      </c>
      <c r="K27" s="9">
        <f t="shared" si="0"/>
        <v>0</v>
      </c>
      <c r="L27" s="15" t="str">
        <f>VLOOKUP(D:D,[3]Sheet1!$A:$G,7,0)</f>
        <v>Thread-Green</v>
      </c>
      <c r="M27" s="45"/>
      <c r="N27" s="17">
        <v>0</v>
      </c>
      <c r="O27" s="17">
        <f t="shared" si="1"/>
        <v>12</v>
      </c>
      <c r="P27" s="18" t="s">
        <v>71</v>
      </c>
    </row>
    <row r="28" spans="1:16" ht="15.75" x14ac:dyDescent="0.25">
      <c r="A28" s="8">
        <v>23</v>
      </c>
      <c r="B28" s="9" t="s">
        <v>42</v>
      </c>
      <c r="C28" s="9" t="s">
        <v>47</v>
      </c>
      <c r="D28" s="10">
        <v>12570</v>
      </c>
      <c r="E28" s="11" t="str">
        <f>VLOOKUP(D:D,'[1]Production Plan '!$B$7:$C$426,2,0)</f>
        <v>1 Inc HDPE Coil Pipe-Green</v>
      </c>
      <c r="F28" s="12" t="str">
        <f>VLOOKUP(D28,'[2]Production Plan '!$B$7:$G$398,6,0)</f>
        <v>Green</v>
      </c>
      <c r="G28" s="13">
        <v>29</v>
      </c>
      <c r="H28" s="14">
        <f>VLOOKUP(D:D,'[1]Production Plan '!$B:$F,5,0)</f>
        <v>35</v>
      </c>
      <c r="I28" s="13">
        <v>30</v>
      </c>
      <c r="J28" s="16">
        <f t="shared" si="3"/>
        <v>2.8708133971291867E-2</v>
      </c>
      <c r="K28" s="9">
        <f t="shared" si="0"/>
        <v>1045</v>
      </c>
      <c r="L28" s="15" t="str">
        <f>VLOOKUP(D:D,[3]Sheet1!$A:$G,7,0)</f>
        <v>HDPE D/L Green</v>
      </c>
      <c r="M28" s="45"/>
      <c r="N28" s="17">
        <v>12</v>
      </c>
      <c r="O28" s="17">
        <f t="shared" si="1"/>
        <v>0</v>
      </c>
      <c r="P28" s="18"/>
    </row>
    <row r="29" spans="1:16" ht="15.75" x14ac:dyDescent="0.25">
      <c r="A29" s="8">
        <v>24</v>
      </c>
      <c r="B29" s="9" t="s">
        <v>43</v>
      </c>
      <c r="C29" s="9" t="s">
        <v>37</v>
      </c>
      <c r="D29" s="10">
        <v>11317</v>
      </c>
      <c r="E29" s="11" t="str">
        <f>VLOOKUP(D:D,'[1]Production Plan '!$B$7:$C$426,2,0)</f>
        <v>110mm Dia Upvc Pipe SWR-1 Special (White)</v>
      </c>
      <c r="F29" s="12" t="str">
        <f>VLOOKUP(D29,'[2]Production Plan '!$B$7:$G$398,6,0)</f>
        <v>White</v>
      </c>
      <c r="G29" s="13">
        <v>477</v>
      </c>
      <c r="H29" s="14">
        <f>VLOOKUP(D:D,'[1]Production Plan '!$B:$F,5,0)</f>
        <v>10</v>
      </c>
      <c r="I29" s="13">
        <v>95</v>
      </c>
      <c r="J29" s="16">
        <f t="shared" si="3"/>
        <v>1.9527235354573486E-2</v>
      </c>
      <c r="K29" s="9">
        <f t="shared" si="0"/>
        <v>4865</v>
      </c>
      <c r="L29" s="15" t="str">
        <f>VLOOKUP(D:D,[3]Sheet1!$A:$G,7,0)</f>
        <v>SWR-White</v>
      </c>
      <c r="M29" s="45"/>
      <c r="N29" s="17">
        <v>12</v>
      </c>
      <c r="O29" s="17">
        <f t="shared" si="1"/>
        <v>0</v>
      </c>
      <c r="P29" s="18"/>
    </row>
    <row r="30" spans="1:16" ht="47.25" x14ac:dyDescent="0.25">
      <c r="A30" s="8">
        <v>25</v>
      </c>
      <c r="B30" s="9" t="s">
        <v>44</v>
      </c>
      <c r="C30" s="9" t="s">
        <v>47</v>
      </c>
      <c r="D30" s="10">
        <v>13387</v>
      </c>
      <c r="E30" s="11" t="str">
        <f>VLOOKUP(D:D,'[1]Production Plan '!$B$7:$C$426,2,0)</f>
        <v>CPVC Pipe 3/4''(20mm)X3M-SDR-13.5</v>
      </c>
      <c r="F30" s="12" t="str">
        <f>VLOOKUP(D30,'[2]Production Plan '!$B$7:$G$398,6,0)</f>
        <v>Off White</v>
      </c>
      <c r="G30" s="13">
        <v>1220</v>
      </c>
      <c r="H30" s="14">
        <f>VLOOKUP(D:D,'[1]Production Plan '!$B:$F,5,0)</f>
        <v>0.55000000000000004</v>
      </c>
      <c r="I30" s="13">
        <v>18</v>
      </c>
      <c r="J30" s="16">
        <f t="shared" si="3"/>
        <v>2.6124818577648767E-2</v>
      </c>
      <c r="K30" s="9">
        <f t="shared" si="0"/>
        <v>689</v>
      </c>
      <c r="L30" s="15" t="str">
        <f>VLOOKUP(D:D,[3]Sheet1!$A:$G,7,0)</f>
        <v>Com..</v>
      </c>
      <c r="M30" s="45"/>
      <c r="N30" s="17">
        <v>12</v>
      </c>
      <c r="O30" s="17">
        <f t="shared" si="1"/>
        <v>0</v>
      </c>
      <c r="P30" s="18" t="s">
        <v>83</v>
      </c>
    </row>
    <row r="31" spans="1:16" ht="15.75" x14ac:dyDescent="0.25">
      <c r="A31" s="8"/>
      <c r="B31" s="9"/>
      <c r="C31" s="9"/>
      <c r="D31" s="9"/>
      <c r="E31" s="11"/>
      <c r="F31" s="12"/>
      <c r="G31" s="7"/>
      <c r="H31" s="14"/>
      <c r="I31" s="21">
        <f>SUM(I6:I30)</f>
        <v>1320</v>
      </c>
      <c r="J31" s="21"/>
      <c r="K31" s="21">
        <f>SUM(K6:K30)</f>
        <v>24729.800000000003</v>
      </c>
      <c r="L31" s="15"/>
      <c r="M31" s="45"/>
      <c r="N31" s="17"/>
      <c r="O31" s="17"/>
      <c r="P31" s="9"/>
    </row>
  </sheetData>
  <mergeCells count="29">
    <mergeCell ref="N21:N22"/>
    <mergeCell ref="O21:O22"/>
    <mergeCell ref="P21:P22"/>
    <mergeCell ref="N13:N14"/>
    <mergeCell ref="O13:O14"/>
    <mergeCell ref="P13:P14"/>
    <mergeCell ref="I16:I17"/>
    <mergeCell ref="J16:J17"/>
    <mergeCell ref="N16:N17"/>
    <mergeCell ref="O16:O17"/>
    <mergeCell ref="P16:P17"/>
    <mergeCell ref="N7:N9"/>
    <mergeCell ref="O7:O9"/>
    <mergeCell ref="P7:P9"/>
    <mergeCell ref="I11:I12"/>
    <mergeCell ref="J11:J12"/>
    <mergeCell ref="N11:N12"/>
    <mergeCell ref="O11:O12"/>
    <mergeCell ref="P11:P12"/>
    <mergeCell ref="F1:J1"/>
    <mergeCell ref="F2:J2"/>
    <mergeCell ref="F3:L3"/>
    <mergeCell ref="M6:M31"/>
    <mergeCell ref="I7:I9"/>
    <mergeCell ref="J7:J9"/>
    <mergeCell ref="I13:I14"/>
    <mergeCell ref="J13:J14"/>
    <mergeCell ref="I21:I22"/>
    <mergeCell ref="J21:J22"/>
  </mergeCells>
  <conditionalFormatting sqref="E6:E31">
    <cfRule type="duplicateValues" dxfId="38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29"/>
  <sheetViews>
    <sheetView topLeftCell="A16" workbookViewId="0">
      <selection activeCell="K30" sqref="K30"/>
    </sheetView>
  </sheetViews>
  <sheetFormatPr defaultRowHeight="15" x14ac:dyDescent="0.25"/>
  <cols>
    <col min="11" max="11" width="9.5703125" bestFit="1" customWidth="1"/>
  </cols>
  <sheetData>
    <row r="1" spans="1:16" ht="15.75" x14ac:dyDescent="0.25">
      <c r="A1" s="32"/>
      <c r="B1" s="32"/>
      <c r="C1" s="32"/>
      <c r="D1" s="32"/>
      <c r="E1" s="32"/>
      <c r="F1" s="43" t="s">
        <v>0</v>
      </c>
      <c r="G1" s="43"/>
      <c r="H1" s="43"/>
      <c r="I1" s="43"/>
      <c r="J1" s="43"/>
      <c r="K1" s="32"/>
      <c r="L1" s="32"/>
      <c r="M1" s="32"/>
      <c r="N1" s="32"/>
      <c r="O1" s="32"/>
      <c r="P1" s="32"/>
    </row>
    <row r="2" spans="1:16" ht="15.75" x14ac:dyDescent="0.25">
      <c r="A2" s="32"/>
      <c r="B2" s="1"/>
      <c r="C2" s="2"/>
      <c r="D2" s="32"/>
      <c r="E2" s="32"/>
      <c r="F2" s="43" t="s">
        <v>1</v>
      </c>
      <c r="G2" s="43"/>
      <c r="H2" s="43"/>
      <c r="I2" s="43"/>
      <c r="J2" s="43"/>
      <c r="K2" s="32"/>
      <c r="L2" s="32"/>
      <c r="M2" s="32"/>
      <c r="N2" s="3"/>
      <c r="O2" s="32"/>
      <c r="P2" s="32"/>
    </row>
    <row r="3" spans="1:16" ht="15.75" x14ac:dyDescent="0.25">
      <c r="A3" s="32"/>
      <c r="B3" s="32"/>
      <c r="C3" s="32"/>
      <c r="D3" s="32"/>
      <c r="E3" s="32"/>
      <c r="F3" s="44" t="s">
        <v>2</v>
      </c>
      <c r="G3" s="44"/>
      <c r="H3" s="44"/>
      <c r="I3" s="44"/>
      <c r="J3" s="44"/>
      <c r="K3" s="44"/>
      <c r="L3" s="44"/>
      <c r="M3" s="32"/>
      <c r="N3" s="32"/>
      <c r="O3" s="32"/>
      <c r="P3" s="32"/>
    </row>
    <row r="4" spans="1:16" ht="15.75" x14ac:dyDescent="0.25">
      <c r="A4" s="32"/>
      <c r="B4" s="32"/>
      <c r="C4" s="32"/>
      <c r="D4" s="32"/>
      <c r="E4" s="4" t="s">
        <v>92</v>
      </c>
      <c r="F4" s="32"/>
      <c r="G4" s="32"/>
      <c r="H4" s="32"/>
      <c r="I4" s="32"/>
      <c r="J4" s="32"/>
      <c r="K4" s="32"/>
      <c r="L4" s="5"/>
      <c r="M4" s="32"/>
      <c r="N4" s="32"/>
      <c r="O4" s="32"/>
      <c r="P4" s="6"/>
    </row>
    <row r="5" spans="1:16" ht="78.75" x14ac:dyDescent="0.25">
      <c r="A5" s="7" t="s">
        <v>3</v>
      </c>
      <c r="B5" s="7" t="s">
        <v>4</v>
      </c>
      <c r="C5" s="7" t="s">
        <v>5</v>
      </c>
      <c r="D5" s="7" t="s">
        <v>6</v>
      </c>
      <c r="E5" s="7" t="s">
        <v>7</v>
      </c>
      <c r="F5" s="7" t="s">
        <v>8</v>
      </c>
      <c r="G5" s="7" t="s">
        <v>9</v>
      </c>
      <c r="H5" s="7" t="s">
        <v>10</v>
      </c>
      <c r="I5" s="7" t="s">
        <v>11</v>
      </c>
      <c r="J5" s="7" t="s">
        <v>12</v>
      </c>
      <c r="K5" s="7" t="s">
        <v>13</v>
      </c>
      <c r="L5" s="7" t="s">
        <v>14</v>
      </c>
      <c r="M5" s="7" t="s">
        <v>15</v>
      </c>
      <c r="N5" s="7" t="s">
        <v>16</v>
      </c>
      <c r="O5" s="7" t="s">
        <v>17</v>
      </c>
      <c r="P5" s="7" t="s">
        <v>18</v>
      </c>
    </row>
    <row r="6" spans="1:16" ht="31.5" x14ac:dyDescent="0.25">
      <c r="A6" s="8">
        <v>1</v>
      </c>
      <c r="B6" s="9" t="s">
        <v>19</v>
      </c>
      <c r="C6" s="9"/>
      <c r="D6" s="10">
        <v>11141</v>
      </c>
      <c r="E6" s="11" t="str">
        <f>VLOOKUP(D:D,'[1]Production Plan '!$B$7:$C$426,2,0)</f>
        <v>4 Inch Upvc Pipe Star (Gray 20 Ft )</v>
      </c>
      <c r="F6" s="12" t="str">
        <f>VLOOKUP(D6,'[2]Production Plan '!$B$7:$G$398,6,0)</f>
        <v>Grey</v>
      </c>
      <c r="G6" s="13">
        <v>0</v>
      </c>
      <c r="H6" s="14">
        <f>VLOOKUP(D:D,'[1]Production Plan '!$B:$F,5,0)</f>
        <v>12.5</v>
      </c>
      <c r="I6" s="13">
        <v>0</v>
      </c>
      <c r="J6" s="16" t="e">
        <f>I6/(K6)</f>
        <v>#DIV/0!</v>
      </c>
      <c r="K6" s="9">
        <f>G6*H6+I6</f>
        <v>0</v>
      </c>
      <c r="L6" s="15" t="str">
        <f>VLOOKUP(D:D,[3]Sheet1!$A:$G,7,0)</f>
        <v>SWR-Grey</v>
      </c>
      <c r="M6" s="45">
        <f>I29/K29</f>
        <v>4.3349243292866421E-2</v>
      </c>
      <c r="N6" s="17">
        <v>0</v>
      </c>
      <c r="O6" s="17">
        <f>12-N6</f>
        <v>12</v>
      </c>
      <c r="P6" s="18" t="s">
        <v>52</v>
      </c>
    </row>
    <row r="7" spans="1:16" ht="31.5" x14ac:dyDescent="0.25">
      <c r="A7" s="8">
        <v>2</v>
      </c>
      <c r="B7" s="9" t="s">
        <v>22</v>
      </c>
      <c r="C7" s="9" t="s">
        <v>93</v>
      </c>
      <c r="D7" s="10">
        <v>11188</v>
      </c>
      <c r="E7" s="11" t="str">
        <f>VLOOKUP(D:D,'[1]Production Plan '!$B$7:$C$426,2,0)</f>
        <v>12 Inch Dia Upvc Pipe Class-E</v>
      </c>
      <c r="F7" s="12" t="str">
        <f>VLOOKUP(D7,'[2]Production Plan '!$B$7:$G$398,6,0)</f>
        <v>Grey</v>
      </c>
      <c r="G7" s="13">
        <v>11</v>
      </c>
      <c r="H7" s="14">
        <f>VLOOKUP(D:D,'[1]Production Plan '!$B:$F,5,0)</f>
        <v>184</v>
      </c>
      <c r="I7" s="33">
        <v>140</v>
      </c>
      <c r="J7" s="29" t="e">
        <f>I7/(K7+#REF!+#REF!)</f>
        <v>#REF!</v>
      </c>
      <c r="K7" s="9">
        <f t="shared" ref="K7:K28" si="0">G7*H7+I7</f>
        <v>2164</v>
      </c>
      <c r="L7" s="15" t="str">
        <f>VLOOKUP(D:D,[3]Sheet1!$A:$G,7,0)</f>
        <v>SBS-Grey</v>
      </c>
      <c r="M7" s="45"/>
      <c r="N7" s="25">
        <v>6</v>
      </c>
      <c r="O7" s="25">
        <f t="shared" ref="O7:O26" si="1">12-N7</f>
        <v>6</v>
      </c>
      <c r="P7" s="30" t="s">
        <v>55</v>
      </c>
    </row>
    <row r="8" spans="1:16" ht="31.5" x14ac:dyDescent="0.25">
      <c r="A8" s="8">
        <v>3</v>
      </c>
      <c r="B8" s="9" t="s">
        <v>24</v>
      </c>
      <c r="C8" s="19"/>
      <c r="D8" s="10">
        <v>11105</v>
      </c>
      <c r="E8" s="11" t="str">
        <f>VLOOKUP(D:D,'[1]Production Plan '!$B$7:$C$426,2,0)</f>
        <v>1 Inch Dia Upvc Pipe Class-D</v>
      </c>
      <c r="F8" s="12" t="str">
        <f>VLOOKUP(D8,'[2]Production Plan '!$B$7:$G$398,6,0)</f>
        <v>Grey</v>
      </c>
      <c r="G8" s="13">
        <v>0</v>
      </c>
      <c r="H8" s="14">
        <f>VLOOKUP(D:D,'[1]Production Plan '!$B:$F,5,0)</f>
        <v>0.85</v>
      </c>
      <c r="I8" s="13">
        <v>0</v>
      </c>
      <c r="J8" s="16" t="e">
        <f t="shared" ref="J8:J16" si="2">I8/(K8)</f>
        <v>#DIV/0!</v>
      </c>
      <c r="K8" s="9">
        <f t="shared" si="0"/>
        <v>0</v>
      </c>
      <c r="L8" s="15" t="str">
        <f>VLOOKUP(D:D,[3]Sheet1!$A:$G,7,0)</f>
        <v>STD-Grey</v>
      </c>
      <c r="M8" s="45"/>
      <c r="N8" s="17">
        <v>0</v>
      </c>
      <c r="O8" s="17">
        <f t="shared" si="1"/>
        <v>12</v>
      </c>
      <c r="P8" s="18" t="s">
        <v>52</v>
      </c>
    </row>
    <row r="9" spans="1:16" ht="15.75" x14ac:dyDescent="0.25">
      <c r="A9" s="8">
        <v>4</v>
      </c>
      <c r="B9" s="9" t="s">
        <v>25</v>
      </c>
      <c r="C9" s="19" t="s">
        <v>53</v>
      </c>
      <c r="D9" s="10">
        <v>11506</v>
      </c>
      <c r="E9" s="11" t="str">
        <f>VLOOKUP(D:D,'[1]Production Plan '!$B$7:$C$426,2,0)</f>
        <v>2 Inch Dia UPVC Thread Pipe</v>
      </c>
      <c r="F9" s="12" t="str">
        <f>VLOOKUP(D9,'[2]Production Plan '!$B$7:$G$398,6,0)</f>
        <v>Green</v>
      </c>
      <c r="G9" s="13">
        <v>355</v>
      </c>
      <c r="H9" s="14">
        <f>VLOOKUP(D:D,'[1]Production Plan '!$B:$F,5,0)</f>
        <v>3.9</v>
      </c>
      <c r="I9" s="39">
        <v>44</v>
      </c>
      <c r="J9" s="41">
        <f>I9/(K9+K10)</f>
        <v>2.0710755471875734E-2</v>
      </c>
      <c r="K9" s="9">
        <f t="shared" si="0"/>
        <v>1428.5</v>
      </c>
      <c r="L9" s="15" t="str">
        <f>VLOOKUP(D:D,[3]Sheet1!$A:$G,7,0)</f>
        <v>Thread-Green</v>
      </c>
      <c r="M9" s="45"/>
      <c r="N9" s="35">
        <v>10</v>
      </c>
      <c r="O9" s="35">
        <f t="shared" si="1"/>
        <v>2</v>
      </c>
      <c r="P9" s="37" t="s">
        <v>94</v>
      </c>
    </row>
    <row r="10" spans="1:16" ht="15.75" x14ac:dyDescent="0.25">
      <c r="A10" s="8">
        <v>5</v>
      </c>
      <c r="B10" s="9" t="s">
        <v>25</v>
      </c>
      <c r="C10" s="19" t="s">
        <v>21</v>
      </c>
      <c r="D10" s="10">
        <v>11505</v>
      </c>
      <c r="E10" s="11" t="str">
        <f>VLOOKUP(D:D,'[1]Production Plan '!$B$7:$C$426,2,0)</f>
        <v>1.5 Inch Dia UPVC Thread Pipe</v>
      </c>
      <c r="F10" s="12" t="str">
        <f>VLOOKUP(D10,'[2]Production Plan '!$B$7:$G$398,6,0)</f>
        <v>Green</v>
      </c>
      <c r="G10" s="13">
        <v>240</v>
      </c>
      <c r="H10" s="14">
        <f>VLOOKUP(D:D,'[1]Production Plan '!$B:$F,5,0)</f>
        <v>2.9</v>
      </c>
      <c r="I10" s="40"/>
      <c r="J10" s="42"/>
      <c r="K10" s="9">
        <f t="shared" si="0"/>
        <v>696</v>
      </c>
      <c r="L10" s="15" t="str">
        <f>VLOOKUP(D:D,[3]Sheet1!$A:$G,7,0)</f>
        <v>Thread-Green</v>
      </c>
      <c r="M10" s="45"/>
      <c r="N10" s="36"/>
      <c r="O10" s="36"/>
      <c r="P10" s="38"/>
    </row>
    <row r="11" spans="1:16" ht="15.75" x14ac:dyDescent="0.25">
      <c r="A11" s="8">
        <v>6</v>
      </c>
      <c r="B11" s="22" t="s">
        <v>26</v>
      </c>
      <c r="C11" s="9" t="s">
        <v>58</v>
      </c>
      <c r="D11" s="10">
        <v>11108</v>
      </c>
      <c r="E11" s="11" t="str">
        <f>VLOOKUP(D:D,'[1]Production Plan '!$B$7:$C$426,2,0)</f>
        <v>1.5 Inch Dia UPVC Pipe Class-Economy</v>
      </c>
      <c r="F11" s="12" t="str">
        <f>VLOOKUP(D11,'[2]Production Plan '!$B$7:$G$398,6,0)</f>
        <v>White</v>
      </c>
      <c r="G11" s="13">
        <v>320</v>
      </c>
      <c r="H11" s="14">
        <f>VLOOKUP(D:D,'[1]Production Plan '!$B:$F,5,0)</f>
        <v>1.8</v>
      </c>
      <c r="I11" s="27">
        <v>229</v>
      </c>
      <c r="J11" s="29" t="e">
        <f>I11/(K11+#REF!)</f>
        <v>#REF!</v>
      </c>
      <c r="K11" s="9">
        <f t="shared" si="0"/>
        <v>805</v>
      </c>
      <c r="L11" s="15" t="str">
        <f>VLOOKUP(D:D,[3]Sheet1!$A:$G,7,0)</f>
        <v>Economy- White</v>
      </c>
      <c r="M11" s="45"/>
      <c r="N11" s="25">
        <v>12</v>
      </c>
      <c r="O11" s="25">
        <f t="shared" si="1"/>
        <v>0</v>
      </c>
      <c r="P11" s="23"/>
    </row>
    <row r="12" spans="1:16" ht="15.75" x14ac:dyDescent="0.25">
      <c r="A12" s="8">
        <v>7</v>
      </c>
      <c r="B12" s="22" t="s">
        <v>28</v>
      </c>
      <c r="C12" s="20" t="s">
        <v>21</v>
      </c>
      <c r="D12" s="10">
        <v>11302</v>
      </c>
      <c r="E12" s="11" t="str">
        <f>VLOOKUP(D:D,'[1]Production Plan '!$B$7:$C$426,2,0)</f>
        <v>40 mm Dia UPVC Pipe Class ISO</v>
      </c>
      <c r="F12" s="12" t="str">
        <f>VLOOKUP(D12,'[2]Production Plan '!$B$7:$G$398,6,0)</f>
        <v>White</v>
      </c>
      <c r="G12" s="34">
        <v>570</v>
      </c>
      <c r="H12" s="14">
        <f>VLOOKUP(D:D,'[1]Production Plan '!$B:$F,5,0)</f>
        <v>1.3</v>
      </c>
      <c r="I12" s="13">
        <v>55</v>
      </c>
      <c r="J12" s="16">
        <f t="shared" si="2"/>
        <v>6.9095477386934667E-2</v>
      </c>
      <c r="K12" s="9">
        <f t="shared" si="0"/>
        <v>796</v>
      </c>
      <c r="L12" s="15" t="str">
        <f>VLOOKUP(D:D,[3]Sheet1!$A:$G,7,0)</f>
        <v>SWR-White</v>
      </c>
      <c r="M12" s="45"/>
      <c r="N12" s="17">
        <v>12</v>
      </c>
      <c r="O12" s="17">
        <f t="shared" si="1"/>
        <v>0</v>
      </c>
      <c r="P12" s="18"/>
    </row>
    <row r="13" spans="1:16" ht="173.25" x14ac:dyDescent="0.25">
      <c r="A13" s="8">
        <v>8</v>
      </c>
      <c r="B13" s="9" t="s">
        <v>30</v>
      </c>
      <c r="C13" s="9" t="s">
        <v>77</v>
      </c>
      <c r="D13" s="10">
        <v>11309</v>
      </c>
      <c r="E13" s="11" t="str">
        <f>VLOOKUP(D:D,'[1]Production Plan '!$B$7:$C$426,2,0)</f>
        <v>110mm Dia UPVC Pipe ISO-2</v>
      </c>
      <c r="F13" s="12" t="str">
        <f>VLOOKUP(D13,'[2]Production Plan '!$B$7:$G$398,6,0)</f>
        <v>White</v>
      </c>
      <c r="G13" s="13">
        <v>84</v>
      </c>
      <c r="H13" s="14">
        <f>VLOOKUP(D:D,'[1]Production Plan '!$B:$F,5,0)</f>
        <v>11</v>
      </c>
      <c r="I13" s="27">
        <v>136</v>
      </c>
      <c r="J13" s="29">
        <f t="shared" si="2"/>
        <v>0.12830188679245283</v>
      </c>
      <c r="K13" s="9">
        <f t="shared" si="0"/>
        <v>1060</v>
      </c>
      <c r="L13" s="15" t="str">
        <f>VLOOKUP(D:D,[3]Sheet1!$A:$G,7,0)</f>
        <v>SWR-White</v>
      </c>
      <c r="M13" s="45"/>
      <c r="N13" s="25">
        <v>5</v>
      </c>
      <c r="O13" s="25">
        <f t="shared" si="1"/>
        <v>7</v>
      </c>
      <c r="P13" s="30" t="s">
        <v>95</v>
      </c>
    </row>
    <row r="14" spans="1:16" ht="31.5" x14ac:dyDescent="0.25">
      <c r="A14" s="8">
        <v>9</v>
      </c>
      <c r="B14" s="9" t="s">
        <v>32</v>
      </c>
      <c r="C14" s="9"/>
      <c r="D14" s="10">
        <v>11335</v>
      </c>
      <c r="E14" s="11" t="str">
        <f>VLOOKUP(D:D,'[1]Production Plan '!$B$7:$C$426,2,0)</f>
        <v>160mm Dia Upvc PN-8 Pipe</v>
      </c>
      <c r="F14" s="12" t="str">
        <f>VLOOKUP(D14,'[2]Production Plan '!$B$7:$G$398,6,0)</f>
        <v>White</v>
      </c>
      <c r="G14" s="13">
        <v>0</v>
      </c>
      <c r="H14" s="14">
        <f>VLOOKUP(D:D,'[1]Production Plan '!$B:$F,5,0)</f>
        <v>26.6</v>
      </c>
      <c r="I14" s="13">
        <v>0</v>
      </c>
      <c r="J14" s="16" t="e">
        <f t="shared" si="2"/>
        <v>#DIV/0!</v>
      </c>
      <c r="K14" s="9">
        <f t="shared" si="0"/>
        <v>0</v>
      </c>
      <c r="L14" s="15" t="str">
        <f>VLOOKUP(D:D,[3]Sheet1!$A:$G,7,0)</f>
        <v>STD-White</v>
      </c>
      <c r="M14" s="45"/>
      <c r="N14" s="17">
        <v>0</v>
      </c>
      <c r="O14" s="17">
        <f t="shared" si="1"/>
        <v>12</v>
      </c>
      <c r="P14" s="18" t="s">
        <v>52</v>
      </c>
    </row>
    <row r="15" spans="1:16" ht="31.5" x14ac:dyDescent="0.25">
      <c r="A15" s="8">
        <v>10</v>
      </c>
      <c r="B15" s="9" t="s">
        <v>33</v>
      </c>
      <c r="C15" s="20" t="s">
        <v>77</v>
      </c>
      <c r="D15" s="10">
        <v>12934</v>
      </c>
      <c r="E15" s="11" t="str">
        <f>VLOOKUP(D:D,'[1]Production Plan '!$B$7:$C$426,2,0)</f>
        <v>110 mm Dia Upvc Pipe SWR-3 SPL</v>
      </c>
      <c r="F15" s="12" t="str">
        <f>VLOOKUP(D15,'[2]Production Plan '!$B$7:$G$398,6,0)</f>
        <v>White</v>
      </c>
      <c r="G15" s="13">
        <v>145</v>
      </c>
      <c r="H15" s="14">
        <f>VLOOKUP(D:D,'[1]Production Plan '!$B:$F,5,0)</f>
        <v>12.7</v>
      </c>
      <c r="I15" s="13">
        <v>116</v>
      </c>
      <c r="J15" s="16">
        <f t="shared" si="2"/>
        <v>5.9259259259259262E-2</v>
      </c>
      <c r="K15" s="9">
        <f t="shared" si="0"/>
        <v>1957.5</v>
      </c>
      <c r="L15" s="15" t="str">
        <f>VLOOKUP(D:D,[3]Sheet1!$A:$G,7,0)</f>
        <v>SWR-White</v>
      </c>
      <c r="M15" s="45"/>
      <c r="N15" s="17">
        <v>9</v>
      </c>
      <c r="O15" s="17">
        <f t="shared" si="1"/>
        <v>3</v>
      </c>
      <c r="P15" s="18" t="s">
        <v>48</v>
      </c>
    </row>
    <row r="16" spans="1:16" ht="31.5" x14ac:dyDescent="0.25">
      <c r="A16" s="8">
        <v>11</v>
      </c>
      <c r="B16" s="9" t="s">
        <v>34</v>
      </c>
      <c r="C16" s="20"/>
      <c r="D16" s="10">
        <v>11502</v>
      </c>
      <c r="E16" s="11" t="str">
        <f>VLOOKUP(D:D,'[1]Production Plan '!$B$7:$C$426,2,0)</f>
        <v>0.75 Inch Dia UPVC Thread Pipe</v>
      </c>
      <c r="F16" s="12" t="str">
        <f>VLOOKUP(D16,'[2]Production Plan '!$B$7:$G$398,6,0)</f>
        <v>Green</v>
      </c>
      <c r="G16" s="13">
        <v>0</v>
      </c>
      <c r="H16" s="14">
        <f>VLOOKUP(D:D,'[1]Production Plan '!$B:$F,5,0)</f>
        <v>1.24</v>
      </c>
      <c r="I16" s="13">
        <v>0</v>
      </c>
      <c r="J16" s="16" t="e">
        <f t="shared" si="2"/>
        <v>#DIV/0!</v>
      </c>
      <c r="K16" s="9">
        <f t="shared" si="0"/>
        <v>0</v>
      </c>
      <c r="L16" s="15" t="str">
        <f>VLOOKUP(D:D,[3]Sheet1!$A:$G,7,0)</f>
        <v>Thread-Green</v>
      </c>
      <c r="M16" s="45"/>
      <c r="N16" s="17">
        <v>0</v>
      </c>
      <c r="O16" s="17">
        <f t="shared" si="1"/>
        <v>12</v>
      </c>
      <c r="P16" s="18" t="s">
        <v>52</v>
      </c>
    </row>
    <row r="17" spans="1:16" ht="15.75" x14ac:dyDescent="0.25">
      <c r="A17" s="8">
        <v>12</v>
      </c>
      <c r="B17" s="9" t="s">
        <v>35</v>
      </c>
      <c r="C17" s="9" t="s">
        <v>62</v>
      </c>
      <c r="D17" s="10">
        <v>11391</v>
      </c>
      <c r="E17" s="11" t="str">
        <f>VLOOKUP(D:D,'[1]Production Plan '!$B$7:$C$426,2,0)</f>
        <v>4 Inch Dia UPVC Pipe Class-D SPL</v>
      </c>
      <c r="F17" s="12" t="str">
        <f>VLOOKUP(D17,'[2]Production Plan '!$B$7:$G$398,6,0)</f>
        <v>Grey</v>
      </c>
      <c r="G17" s="13">
        <v>159</v>
      </c>
      <c r="H17" s="14">
        <f>VLOOKUP(D:D,'[1]Production Plan '!$B:$F,5,0)</f>
        <v>20</v>
      </c>
      <c r="I17" s="39">
        <v>40</v>
      </c>
      <c r="J17" s="41">
        <f>I17/(K17+K18)</f>
        <v>1.2422360248447204E-2</v>
      </c>
      <c r="K17" s="9">
        <f t="shared" si="0"/>
        <v>3220</v>
      </c>
      <c r="L17" s="15" t="str">
        <f>VLOOKUP(D:D,[3]Sheet1!$A:$G,7,0)</f>
        <v>Three Layer</v>
      </c>
      <c r="M17" s="45"/>
      <c r="N17" s="35">
        <v>4</v>
      </c>
      <c r="O17" s="35">
        <f t="shared" si="1"/>
        <v>8</v>
      </c>
      <c r="P17" s="37" t="s">
        <v>61</v>
      </c>
    </row>
    <row r="18" spans="1:16" ht="15.75" x14ac:dyDescent="0.25">
      <c r="A18" s="8">
        <v>13</v>
      </c>
      <c r="B18" s="9" t="s">
        <v>35</v>
      </c>
      <c r="C18" s="9" t="s">
        <v>21</v>
      </c>
      <c r="D18" s="10">
        <v>11399</v>
      </c>
      <c r="E18" s="11" t="str">
        <f>VLOOKUP(D:D,'[1]Production Plan '!$B$7:$C$426,2,0)</f>
        <v>4 Inch Dia Upvc Pipe Class -D SPL Filter</v>
      </c>
      <c r="F18" s="12" t="str">
        <f>VLOOKUP(D18,'[2]Production Plan '!$B$7:$G$398,6,0)</f>
        <v>Grey</v>
      </c>
      <c r="G18" s="13">
        <v>0</v>
      </c>
      <c r="H18" s="14">
        <f>VLOOKUP(D:D,'[1]Production Plan '!$B:$F,5,0)</f>
        <v>10</v>
      </c>
      <c r="I18" s="40"/>
      <c r="J18" s="42"/>
      <c r="K18" s="9">
        <f t="shared" si="0"/>
        <v>0</v>
      </c>
      <c r="L18" s="15" t="str">
        <f>VLOOKUP(D:D,[3]Sheet1!$A:$G,7,0)</f>
        <v xml:space="preserve">Three Layer </v>
      </c>
      <c r="M18" s="45"/>
      <c r="N18" s="36"/>
      <c r="O18" s="36"/>
      <c r="P18" s="38"/>
    </row>
    <row r="19" spans="1:16" ht="31.5" x14ac:dyDescent="0.25">
      <c r="A19" s="8">
        <v>14</v>
      </c>
      <c r="B19" s="9" t="s">
        <v>36</v>
      </c>
      <c r="C19" s="9" t="s">
        <v>31</v>
      </c>
      <c r="D19" s="10">
        <v>11338</v>
      </c>
      <c r="E19" s="11" t="str">
        <f>VLOOKUP(D:D,'[1]Production Plan '!$B$7:$C$426,2,0)</f>
        <v>160 mm UPVC Pipe SWR- Special</v>
      </c>
      <c r="F19" s="12" t="str">
        <f>VLOOKUP(D19,'[2]Production Plan '!$B$7:$G$398,6,0)</f>
        <v>White</v>
      </c>
      <c r="G19" s="13">
        <v>115</v>
      </c>
      <c r="H19" s="14">
        <f>VLOOKUP(D:D,'[1]Production Plan '!$B:$F,5,0)</f>
        <v>16.2</v>
      </c>
      <c r="I19" s="13">
        <v>0</v>
      </c>
      <c r="J19" s="16">
        <f>I19/(K19)</f>
        <v>0</v>
      </c>
      <c r="K19" s="9">
        <f t="shared" si="0"/>
        <v>1863</v>
      </c>
      <c r="L19" s="15" t="str">
        <f>VLOOKUP(D:D,[3]Sheet1!$A:$G,7,0)</f>
        <v>Economy- White</v>
      </c>
      <c r="M19" s="45"/>
      <c r="N19" s="17">
        <v>8</v>
      </c>
      <c r="O19" s="17">
        <f t="shared" si="1"/>
        <v>4</v>
      </c>
      <c r="P19" s="18" t="s">
        <v>61</v>
      </c>
    </row>
    <row r="20" spans="1:16" ht="15.75" x14ac:dyDescent="0.25">
      <c r="A20" s="8">
        <v>15</v>
      </c>
      <c r="B20" s="9" t="s">
        <v>38</v>
      </c>
      <c r="C20" s="9" t="s">
        <v>79</v>
      </c>
      <c r="D20" s="10">
        <v>11309</v>
      </c>
      <c r="E20" s="11" t="str">
        <f>VLOOKUP(D:D,'[1]Production Plan '!$B$7:$C$426,2,0)</f>
        <v>110mm Dia UPVC Pipe ISO-2</v>
      </c>
      <c r="F20" s="12" t="str">
        <f>VLOOKUP(D20,'[2]Production Plan '!$B$7:$G$398,6,0)</f>
        <v>White</v>
      </c>
      <c r="G20" s="13">
        <v>203</v>
      </c>
      <c r="H20" s="14">
        <f>VLOOKUP(D:D,'[1]Production Plan '!$B:$F,5,0)</f>
        <v>11</v>
      </c>
      <c r="I20" s="39">
        <v>0</v>
      </c>
      <c r="J20" s="41">
        <f t="shared" ref="J20:J26" si="3">I20/(K20)</f>
        <v>0</v>
      </c>
      <c r="K20" s="9">
        <f t="shared" si="0"/>
        <v>2233</v>
      </c>
      <c r="L20" s="15" t="str">
        <f>VLOOKUP(D:D,[3]Sheet1!$A:$G,7,0)</f>
        <v>SWR-White</v>
      </c>
      <c r="M20" s="45"/>
      <c r="N20" s="35">
        <v>12</v>
      </c>
      <c r="O20" s="35">
        <f t="shared" si="1"/>
        <v>0</v>
      </c>
      <c r="P20" s="54"/>
    </row>
    <row r="21" spans="1:16" ht="15.75" x14ac:dyDescent="0.25">
      <c r="A21" s="8">
        <v>16</v>
      </c>
      <c r="B21" s="9" t="s">
        <v>38</v>
      </c>
      <c r="C21" s="9" t="s">
        <v>21</v>
      </c>
      <c r="D21" s="10">
        <v>11310</v>
      </c>
      <c r="E21" s="11" t="s">
        <v>96</v>
      </c>
      <c r="F21" s="12" t="e">
        <f>VLOOKUP(D21,'[2]Production Plan '!$B$7:$G$398,6,0)</f>
        <v>#N/A</v>
      </c>
      <c r="G21" s="13">
        <v>20</v>
      </c>
      <c r="H21" s="14">
        <f>H20/2</f>
        <v>5.5</v>
      </c>
      <c r="I21" s="40"/>
      <c r="J21" s="42"/>
      <c r="K21" s="9">
        <f t="shared" si="0"/>
        <v>110</v>
      </c>
      <c r="L21" s="15"/>
      <c r="M21" s="45"/>
      <c r="N21" s="36"/>
      <c r="O21" s="36"/>
      <c r="P21" s="55"/>
    </row>
    <row r="22" spans="1:16" ht="31.5" x14ac:dyDescent="0.25">
      <c r="A22" s="8">
        <v>17</v>
      </c>
      <c r="B22" s="9" t="s">
        <v>39</v>
      </c>
      <c r="C22" s="9" t="s">
        <v>37</v>
      </c>
      <c r="D22" s="10">
        <v>11130</v>
      </c>
      <c r="E22" s="11" t="str">
        <f>VLOOKUP(D:D,'[1]Production Plan '!$B$7:$C$426,2,0)</f>
        <v>2 Inch Dia UPVC Pipe Class D</v>
      </c>
      <c r="F22" s="12" t="str">
        <f>VLOOKUP(D22,'[2]Production Plan '!$B$7:$G$398,6,0)</f>
        <v>Grey</v>
      </c>
      <c r="G22" s="13">
        <v>295</v>
      </c>
      <c r="H22" s="14">
        <f>VLOOKUP(D:D,'[1]Production Plan '!$B:$F,5,0)</f>
        <v>4.0999999999999996</v>
      </c>
      <c r="I22" s="13">
        <v>62</v>
      </c>
      <c r="J22" s="16">
        <f t="shared" si="3"/>
        <v>4.8761305544632323E-2</v>
      </c>
      <c r="K22" s="9">
        <f t="shared" si="0"/>
        <v>1271.5</v>
      </c>
      <c r="L22" s="15" t="str">
        <f>VLOOKUP(D:D,[3]Sheet1!$A:$G,7,0)</f>
        <v>SBS-Grey</v>
      </c>
      <c r="M22" s="45"/>
      <c r="N22" s="17">
        <v>9</v>
      </c>
      <c r="O22" s="17">
        <f t="shared" si="1"/>
        <v>3</v>
      </c>
      <c r="P22" s="18" t="s">
        <v>48</v>
      </c>
    </row>
    <row r="23" spans="1:16" ht="15.75" x14ac:dyDescent="0.25">
      <c r="A23" s="8">
        <v>18</v>
      </c>
      <c r="B23" s="9" t="s">
        <v>40</v>
      </c>
      <c r="C23" s="9" t="s">
        <v>21</v>
      </c>
      <c r="D23" s="10">
        <v>12537</v>
      </c>
      <c r="E23" s="11" t="str">
        <f>VLOOKUP(D:D,'[1]Production Plan '!$B$7:$C$426,2,0)</f>
        <v>80mm Dia Upvc Pipe SWR-Special (White)</v>
      </c>
      <c r="F23" s="12" t="str">
        <f>VLOOKUP(D23,'[2]Production Plan '!$B$7:$G$398,6,0)</f>
        <v>White</v>
      </c>
      <c r="G23" s="13">
        <v>376</v>
      </c>
      <c r="H23" s="14">
        <f>VLOOKUP(D:D,'[1]Production Plan '!$B:$F,5,0)</f>
        <v>5.4</v>
      </c>
      <c r="I23" s="13">
        <v>54</v>
      </c>
      <c r="J23" s="16">
        <f t="shared" si="3"/>
        <v>2.5906735751295335E-2</v>
      </c>
      <c r="K23" s="9">
        <f t="shared" si="0"/>
        <v>2084.4</v>
      </c>
      <c r="L23" s="15" t="str">
        <f>VLOOKUP(D:D,[3]Sheet1!$A:$G,7,0)</f>
        <v>SWR-White</v>
      </c>
      <c r="M23" s="45"/>
      <c r="N23" s="17">
        <v>12</v>
      </c>
      <c r="O23" s="17">
        <f t="shared" si="1"/>
        <v>0</v>
      </c>
      <c r="P23" s="18"/>
    </row>
    <row r="24" spans="1:16" ht="31.5" x14ac:dyDescent="0.25">
      <c r="A24" s="8">
        <v>19</v>
      </c>
      <c r="B24" s="9" t="s">
        <v>41</v>
      </c>
      <c r="C24" s="9"/>
      <c r="D24" s="10">
        <v>11503</v>
      </c>
      <c r="E24" s="11" t="str">
        <f>VLOOKUP(D:D,'[1]Production Plan '!$B$7:$C$426,2,0)</f>
        <v>1 Inch Dia UPVC Thread Pipe</v>
      </c>
      <c r="F24" s="12" t="str">
        <f>VLOOKUP(D24,'[2]Production Plan '!$B$7:$G$398,6,0)</f>
        <v>Green</v>
      </c>
      <c r="G24" s="13">
        <v>0</v>
      </c>
      <c r="H24" s="14">
        <f>VLOOKUP(D:D,'[1]Production Plan '!$B:$F,5,0)</f>
        <v>1.65</v>
      </c>
      <c r="I24" s="13">
        <v>0</v>
      </c>
      <c r="J24" s="16" t="e">
        <f t="shared" si="3"/>
        <v>#DIV/0!</v>
      </c>
      <c r="K24" s="9">
        <f t="shared" si="0"/>
        <v>0</v>
      </c>
      <c r="L24" s="15" t="str">
        <f>VLOOKUP(D:D,[3]Sheet1!$A:$G,7,0)</f>
        <v>Thread-Green</v>
      </c>
      <c r="M24" s="45"/>
      <c r="N24" s="17">
        <v>0</v>
      </c>
      <c r="O24" s="17">
        <f t="shared" si="1"/>
        <v>12</v>
      </c>
      <c r="P24" s="18" t="s">
        <v>52</v>
      </c>
    </row>
    <row r="25" spans="1:16" ht="15.75" x14ac:dyDescent="0.25">
      <c r="A25" s="8">
        <v>20</v>
      </c>
      <c r="B25" s="9" t="s">
        <v>42</v>
      </c>
      <c r="C25" s="9" t="s">
        <v>46</v>
      </c>
      <c r="D25" s="10">
        <v>12570</v>
      </c>
      <c r="E25" s="11" t="str">
        <f>VLOOKUP(D:D,'[1]Production Plan '!$B$7:$C$426,2,0)</f>
        <v>1 Inc HDPE Coil Pipe-Green</v>
      </c>
      <c r="F25" s="12" t="str">
        <f>VLOOKUP(D25,'[2]Production Plan '!$B$7:$G$398,6,0)</f>
        <v>Green</v>
      </c>
      <c r="G25" s="13">
        <v>28</v>
      </c>
      <c r="H25" s="14">
        <f>VLOOKUP(D:D,'[1]Production Plan '!$B:$F,5,0)</f>
        <v>35</v>
      </c>
      <c r="I25" s="13">
        <v>0</v>
      </c>
      <c r="J25" s="16">
        <f t="shared" si="3"/>
        <v>0</v>
      </c>
      <c r="K25" s="9">
        <f t="shared" si="0"/>
        <v>980</v>
      </c>
      <c r="L25" s="15" t="str">
        <f>VLOOKUP(D:D,[3]Sheet1!$A:$G,7,0)</f>
        <v>HDPE D/L Green</v>
      </c>
      <c r="M25" s="45"/>
      <c r="N25" s="17">
        <v>12</v>
      </c>
      <c r="O25" s="17">
        <f t="shared" si="1"/>
        <v>0</v>
      </c>
      <c r="P25" s="18"/>
    </row>
    <row r="26" spans="1:16" ht="15.75" x14ac:dyDescent="0.25">
      <c r="A26" s="8">
        <v>21</v>
      </c>
      <c r="B26" s="9" t="s">
        <v>43</v>
      </c>
      <c r="C26" s="9" t="s">
        <v>54</v>
      </c>
      <c r="D26" s="10">
        <v>11317</v>
      </c>
      <c r="E26" s="11" t="str">
        <f>VLOOKUP(D:D,'[1]Production Plan '!$B$7:$C$426,2,0)</f>
        <v>110mm Dia Upvc Pipe SWR-1 Special (White)</v>
      </c>
      <c r="F26" s="12" t="str">
        <f>VLOOKUP(D26,'[2]Production Plan '!$B$7:$G$398,6,0)</f>
        <v>White</v>
      </c>
      <c r="G26" s="13">
        <v>469</v>
      </c>
      <c r="H26" s="14">
        <f>VLOOKUP(D:D,'[1]Production Plan '!$B:$F,5,0)</f>
        <v>10</v>
      </c>
      <c r="I26" s="13">
        <v>247</v>
      </c>
      <c r="J26" s="16">
        <f t="shared" si="3"/>
        <v>5.0030382823577073E-2</v>
      </c>
      <c r="K26" s="9">
        <f t="shared" si="0"/>
        <v>4937</v>
      </c>
      <c r="L26" s="15" t="str">
        <f>VLOOKUP(D:D,[3]Sheet1!$A:$G,7,0)</f>
        <v>SWR-White</v>
      </c>
      <c r="M26" s="45"/>
      <c r="N26" s="17">
        <v>12</v>
      </c>
      <c r="O26" s="17">
        <f t="shared" si="1"/>
        <v>0</v>
      </c>
      <c r="P26" s="18"/>
    </row>
    <row r="27" spans="1:16" ht="15.75" x14ac:dyDescent="0.25">
      <c r="A27" s="8">
        <v>22</v>
      </c>
      <c r="B27" s="9" t="s">
        <v>44</v>
      </c>
      <c r="C27" s="9"/>
      <c r="D27" s="10">
        <v>13387</v>
      </c>
      <c r="E27" s="11" t="str">
        <f>VLOOKUP(D:D,'[1]Production Plan '!$B$7:$C$426,2,0)</f>
        <v>CPVC Pipe 3/4''(20mm)X3M-SDR-13.5</v>
      </c>
      <c r="F27" s="12" t="str">
        <f>VLOOKUP(D27,'[2]Production Plan '!$B$7:$G$398,6,0)</f>
        <v>Off White</v>
      </c>
      <c r="G27" s="13">
        <v>1000</v>
      </c>
      <c r="H27" s="14">
        <f>VLOOKUP(D:D,'[1]Production Plan '!$B:$F,5,0)</f>
        <v>0.55000000000000004</v>
      </c>
      <c r="I27" s="39">
        <v>15</v>
      </c>
      <c r="J27" s="41">
        <f>I28/(K28)</f>
        <v>0</v>
      </c>
      <c r="K27" s="9">
        <f t="shared" si="0"/>
        <v>565</v>
      </c>
      <c r="L27" s="15"/>
      <c r="M27" s="45"/>
      <c r="N27" s="35">
        <v>12</v>
      </c>
      <c r="O27" s="35">
        <f>12-N27</f>
        <v>0</v>
      </c>
      <c r="P27" s="37"/>
    </row>
    <row r="28" spans="1:16" ht="15.75" x14ac:dyDescent="0.25">
      <c r="A28" s="8">
        <v>23</v>
      </c>
      <c r="B28" s="9" t="s">
        <v>44</v>
      </c>
      <c r="C28" s="9" t="s">
        <v>46</v>
      </c>
      <c r="D28" s="10">
        <v>13388</v>
      </c>
      <c r="E28" s="11" t="str">
        <f>VLOOKUP(D:D,'[1]Production Plan '!$B$7:$C$426,2,0)</f>
        <v>CPVC Pipe 1''(25mm)X3M-SDR-13.5</v>
      </c>
      <c r="F28" s="12" t="str">
        <f>VLOOKUP(D28,'[2]Production Plan '!$B$7:$G$398,6,0)</f>
        <v>Off White</v>
      </c>
      <c r="G28" s="13">
        <v>90</v>
      </c>
      <c r="H28" s="14">
        <f>VLOOKUP(D:D,'[1]Production Plan '!$B:$F,5,0)</f>
        <v>0.9</v>
      </c>
      <c r="I28" s="40"/>
      <c r="J28" s="42"/>
      <c r="K28" s="9">
        <f t="shared" si="0"/>
        <v>81</v>
      </c>
      <c r="L28" s="15" t="str">
        <f>VLOOKUP(D:D,[3]Sheet1!$A:$G,7,0)</f>
        <v>Com..</v>
      </c>
      <c r="M28" s="45"/>
      <c r="N28" s="36"/>
      <c r="O28" s="36"/>
      <c r="P28" s="38"/>
    </row>
    <row r="29" spans="1:16" ht="15.75" x14ac:dyDescent="0.25">
      <c r="A29" s="8"/>
      <c r="B29" s="9"/>
      <c r="C29" s="9"/>
      <c r="D29" s="9"/>
      <c r="E29" s="11"/>
      <c r="F29" s="12"/>
      <c r="G29" s="7"/>
      <c r="H29" s="14"/>
      <c r="I29" s="21">
        <f>SUM(I6:I28)</f>
        <v>1138</v>
      </c>
      <c r="J29" s="21"/>
      <c r="K29" s="21">
        <f>SUM(K6:K28)</f>
        <v>26251.9</v>
      </c>
      <c r="L29" s="15"/>
      <c r="M29" s="45"/>
      <c r="N29" s="17"/>
      <c r="O29" s="17"/>
      <c r="P29" s="9"/>
    </row>
  </sheetData>
  <mergeCells count="24">
    <mergeCell ref="N20:N21"/>
    <mergeCell ref="O20:O21"/>
    <mergeCell ref="P20:P21"/>
    <mergeCell ref="I27:I28"/>
    <mergeCell ref="J27:J28"/>
    <mergeCell ref="N27:N28"/>
    <mergeCell ref="O27:O28"/>
    <mergeCell ref="P27:P28"/>
    <mergeCell ref="N9:N10"/>
    <mergeCell ref="O9:O10"/>
    <mergeCell ref="P9:P10"/>
    <mergeCell ref="I17:I18"/>
    <mergeCell ref="J17:J18"/>
    <mergeCell ref="N17:N18"/>
    <mergeCell ref="O17:O18"/>
    <mergeCell ref="P17:P18"/>
    <mergeCell ref="F1:J1"/>
    <mergeCell ref="F2:J2"/>
    <mergeCell ref="F3:L3"/>
    <mergeCell ref="M6:M29"/>
    <mergeCell ref="I9:I10"/>
    <mergeCell ref="J9:J10"/>
    <mergeCell ref="I20:I21"/>
    <mergeCell ref="J20:J21"/>
  </mergeCells>
  <conditionalFormatting sqref="E22:E26 E6:E20 E28:E29">
    <cfRule type="duplicateValues" dxfId="36" priority="3"/>
  </conditionalFormatting>
  <conditionalFormatting sqref="E21">
    <cfRule type="duplicateValues" dxfId="35" priority="2"/>
  </conditionalFormatting>
  <conditionalFormatting sqref="E27">
    <cfRule type="duplicateValues" dxfId="34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30"/>
  <sheetViews>
    <sheetView topLeftCell="A19" workbookViewId="0">
      <selection activeCell="K31" sqref="K31"/>
    </sheetView>
  </sheetViews>
  <sheetFormatPr defaultRowHeight="15" x14ac:dyDescent="0.25"/>
  <cols>
    <col min="11" max="11" width="9.5703125" bestFit="1" customWidth="1"/>
  </cols>
  <sheetData>
    <row r="1" spans="1:16" ht="15.75" x14ac:dyDescent="0.25">
      <c r="A1" s="32"/>
      <c r="B1" s="32"/>
      <c r="C1" s="32"/>
      <c r="D1" s="32"/>
      <c r="E1" s="32"/>
      <c r="F1" s="43" t="s">
        <v>0</v>
      </c>
      <c r="G1" s="43"/>
      <c r="H1" s="43"/>
      <c r="I1" s="43"/>
      <c r="J1" s="43"/>
      <c r="K1" s="32"/>
      <c r="L1" s="32"/>
      <c r="M1" s="32"/>
      <c r="N1" s="32"/>
      <c r="O1" s="32"/>
      <c r="P1" s="32"/>
    </row>
    <row r="2" spans="1:16" ht="15.75" x14ac:dyDescent="0.25">
      <c r="A2" s="32"/>
      <c r="B2" s="1"/>
      <c r="C2" s="2"/>
      <c r="D2" s="32"/>
      <c r="E2" s="32"/>
      <c r="F2" s="43" t="s">
        <v>1</v>
      </c>
      <c r="G2" s="43"/>
      <c r="H2" s="43"/>
      <c r="I2" s="43"/>
      <c r="J2" s="43"/>
      <c r="K2" s="32"/>
      <c r="L2" s="32"/>
      <c r="M2" s="32"/>
      <c r="N2" s="3"/>
      <c r="O2" s="32"/>
      <c r="P2" s="32"/>
    </row>
    <row r="3" spans="1:16" ht="15.75" x14ac:dyDescent="0.25">
      <c r="A3" s="32"/>
      <c r="B3" s="32"/>
      <c r="C3" s="32"/>
      <c r="D3" s="32"/>
      <c r="E3" s="32"/>
      <c r="F3" s="44" t="s">
        <v>2</v>
      </c>
      <c r="G3" s="44"/>
      <c r="H3" s="44"/>
      <c r="I3" s="44"/>
      <c r="J3" s="44"/>
      <c r="K3" s="44"/>
      <c r="L3" s="44"/>
      <c r="M3" s="32"/>
      <c r="N3" s="32"/>
      <c r="O3" s="32"/>
      <c r="P3" s="32"/>
    </row>
    <row r="4" spans="1:16" ht="15.75" x14ac:dyDescent="0.25">
      <c r="A4" s="32"/>
      <c r="B4" s="32"/>
      <c r="C4" s="32"/>
      <c r="D4" s="32"/>
      <c r="E4" s="4" t="s">
        <v>97</v>
      </c>
      <c r="F4" s="32"/>
      <c r="G4" s="32"/>
      <c r="H4" s="32"/>
      <c r="I4" s="32"/>
      <c r="J4" s="32"/>
      <c r="K4" s="32"/>
      <c r="L4" s="5"/>
      <c r="M4" s="32"/>
      <c r="N4" s="32"/>
      <c r="O4" s="32"/>
      <c r="P4" s="6"/>
    </row>
    <row r="5" spans="1:16" ht="78.75" x14ac:dyDescent="0.25">
      <c r="A5" s="7" t="s">
        <v>3</v>
      </c>
      <c r="B5" s="7" t="s">
        <v>4</v>
      </c>
      <c r="C5" s="7" t="s">
        <v>5</v>
      </c>
      <c r="D5" s="7" t="s">
        <v>6</v>
      </c>
      <c r="E5" s="7" t="s">
        <v>7</v>
      </c>
      <c r="F5" s="7" t="s">
        <v>8</v>
      </c>
      <c r="G5" s="7" t="s">
        <v>9</v>
      </c>
      <c r="H5" s="7" t="s">
        <v>10</v>
      </c>
      <c r="I5" s="7" t="s">
        <v>11</v>
      </c>
      <c r="J5" s="7" t="s">
        <v>12</v>
      </c>
      <c r="K5" s="7" t="s">
        <v>13</v>
      </c>
      <c r="L5" s="7" t="s">
        <v>14</v>
      </c>
      <c r="M5" s="7" t="s">
        <v>15</v>
      </c>
      <c r="N5" s="7" t="s">
        <v>16</v>
      </c>
      <c r="O5" s="7" t="s">
        <v>17</v>
      </c>
      <c r="P5" s="7" t="s">
        <v>18</v>
      </c>
    </row>
    <row r="6" spans="1:16" ht="31.5" x14ac:dyDescent="0.25">
      <c r="A6" s="8">
        <v>1</v>
      </c>
      <c r="B6" s="9" t="s">
        <v>19</v>
      </c>
      <c r="C6" s="9"/>
      <c r="D6" s="10">
        <v>11141</v>
      </c>
      <c r="E6" s="11" t="str">
        <f>VLOOKUP(D:D,'[1]Production Plan '!$B$7:$C$426,2,0)</f>
        <v>4 Inch Upvc Pipe Star (Gray 20 Ft )</v>
      </c>
      <c r="F6" s="12" t="str">
        <f>VLOOKUP(D6,'[2]Production Plan '!$B$7:$G$398,6,0)</f>
        <v>Grey</v>
      </c>
      <c r="G6" s="13">
        <v>0</v>
      </c>
      <c r="H6" s="14">
        <f>VLOOKUP(D:D,'[1]Production Plan '!$B:$F,5,0)</f>
        <v>12.5</v>
      </c>
      <c r="I6" s="13">
        <v>0</v>
      </c>
      <c r="J6" s="16" t="e">
        <f>I6/(K6)</f>
        <v>#DIV/0!</v>
      </c>
      <c r="K6" s="9">
        <f>G6*H6+I6</f>
        <v>0</v>
      </c>
      <c r="L6" s="15" t="str">
        <f>VLOOKUP(D:D,[3]Sheet1!$A:$G,7,0)</f>
        <v>SWR-Grey</v>
      </c>
      <c r="M6" s="45">
        <f>I30/K30</f>
        <v>5.7635982168104366E-2</v>
      </c>
      <c r="N6" s="17">
        <v>0</v>
      </c>
      <c r="O6" s="17">
        <f>12-N6</f>
        <v>12</v>
      </c>
      <c r="P6" s="18" t="s">
        <v>52</v>
      </c>
    </row>
    <row r="7" spans="1:16" ht="31.5" x14ac:dyDescent="0.25">
      <c r="A7" s="8">
        <v>2</v>
      </c>
      <c r="B7" s="9" t="s">
        <v>22</v>
      </c>
      <c r="C7" s="9" t="s">
        <v>87</v>
      </c>
      <c r="D7" s="10">
        <v>11348</v>
      </c>
      <c r="E7" s="11" t="str">
        <f>VLOOKUP(D:D,'[1]Production Plan '!$B$7:$C$426,2,0)</f>
        <v>200mm Upvc SWR Pipe (PN-8)</v>
      </c>
      <c r="F7" s="12" t="str">
        <f>VLOOKUP(D7,'[2]Production Plan '!$B$7:$G$398,6,0)</f>
        <v>White</v>
      </c>
      <c r="G7" s="13">
        <v>97</v>
      </c>
      <c r="H7" s="14">
        <f>VLOOKUP(D:D,'[1]Production Plan '!$B:$F,5,0)</f>
        <v>39.200000000000003</v>
      </c>
      <c r="I7" s="33">
        <v>265</v>
      </c>
      <c r="J7" s="29">
        <f>I7/(K7)</f>
        <v>6.5152185671436297E-2</v>
      </c>
      <c r="K7" s="9">
        <f t="shared" ref="K7:K29" si="0">G7*H7+I7</f>
        <v>4067.4</v>
      </c>
      <c r="L7" s="15" t="str">
        <f>VLOOKUP(D:D,[3]Sheet1!$A:$G,7,0)</f>
        <v>STD-White</v>
      </c>
      <c r="M7" s="45"/>
      <c r="N7" s="25">
        <v>11</v>
      </c>
      <c r="O7" s="25">
        <f t="shared" ref="O7:O27" si="1">12-N7</f>
        <v>1</v>
      </c>
      <c r="P7" s="30" t="s">
        <v>98</v>
      </c>
    </row>
    <row r="8" spans="1:16" ht="31.5" x14ac:dyDescent="0.25">
      <c r="A8" s="8">
        <v>3</v>
      </c>
      <c r="B8" s="9" t="s">
        <v>24</v>
      </c>
      <c r="C8" s="19"/>
      <c r="D8" s="10">
        <v>11105</v>
      </c>
      <c r="E8" s="11" t="str">
        <f>VLOOKUP(D:D,'[1]Production Plan '!$B$7:$C$426,2,0)</f>
        <v>1 Inch Dia Upvc Pipe Class-D</v>
      </c>
      <c r="F8" s="12" t="str">
        <f>VLOOKUP(D8,'[2]Production Plan '!$B$7:$G$398,6,0)</f>
        <v>Grey</v>
      </c>
      <c r="G8" s="13">
        <v>0</v>
      </c>
      <c r="H8" s="14">
        <f>VLOOKUP(D:D,'[1]Production Plan '!$B:$F,5,0)</f>
        <v>0.85</v>
      </c>
      <c r="I8" s="13">
        <v>0</v>
      </c>
      <c r="J8" s="16" t="e">
        <f t="shared" ref="J8:J16" si="2">I8/(K8)</f>
        <v>#DIV/0!</v>
      </c>
      <c r="K8" s="9">
        <f t="shared" si="0"/>
        <v>0</v>
      </c>
      <c r="L8" s="15" t="str">
        <f>VLOOKUP(D:D,[3]Sheet1!$A:$G,7,0)</f>
        <v>STD-Grey</v>
      </c>
      <c r="M8" s="45"/>
      <c r="N8" s="17">
        <v>0</v>
      </c>
      <c r="O8" s="17">
        <f t="shared" si="1"/>
        <v>12</v>
      </c>
      <c r="P8" s="18" t="s">
        <v>52</v>
      </c>
    </row>
    <row r="9" spans="1:16" ht="15.75" x14ac:dyDescent="0.25">
      <c r="A9" s="8">
        <v>4</v>
      </c>
      <c r="B9" s="9" t="s">
        <v>25</v>
      </c>
      <c r="C9" s="19" t="s">
        <v>49</v>
      </c>
      <c r="D9" s="10">
        <v>11506</v>
      </c>
      <c r="E9" s="11" t="str">
        <f>VLOOKUP(D:D,'[1]Production Plan '!$B$7:$C$426,2,0)</f>
        <v>2 Inch Dia UPVC Thread Pipe</v>
      </c>
      <c r="F9" s="12" t="str">
        <f>VLOOKUP(D9,'[2]Production Plan '!$B$7:$G$398,6,0)</f>
        <v>Green</v>
      </c>
      <c r="G9" s="13">
        <v>390</v>
      </c>
      <c r="H9" s="14">
        <f>VLOOKUP(D:D,'[1]Production Plan '!$B:$F,5,0)</f>
        <v>3.9</v>
      </c>
      <c r="I9" s="39">
        <v>72</v>
      </c>
      <c r="J9" s="41">
        <f>I9/(K9+K10)</f>
        <v>4.519774011299435E-2</v>
      </c>
      <c r="K9" s="9">
        <f t="shared" si="0"/>
        <v>1593</v>
      </c>
      <c r="L9" s="15" t="str">
        <f>VLOOKUP(D:D,[3]Sheet1!$A:$G,7,0)</f>
        <v>Thread-Green</v>
      </c>
      <c r="M9" s="45"/>
      <c r="N9" s="35">
        <v>12</v>
      </c>
      <c r="O9" s="35">
        <f t="shared" si="1"/>
        <v>0</v>
      </c>
      <c r="P9" s="37"/>
    </row>
    <row r="10" spans="1:16" ht="15.75" x14ac:dyDescent="0.25">
      <c r="A10" s="8">
        <v>5</v>
      </c>
      <c r="B10" s="9" t="s">
        <v>25</v>
      </c>
      <c r="C10" s="19" t="s">
        <v>21</v>
      </c>
      <c r="D10" s="10">
        <v>11505</v>
      </c>
      <c r="E10" s="11" t="str">
        <f>VLOOKUP(D:D,'[1]Production Plan '!$B$7:$C$426,2,0)</f>
        <v>1.5 Inch Dia UPVC Thread Pipe</v>
      </c>
      <c r="F10" s="12" t="str">
        <f>VLOOKUP(D10,'[2]Production Plan '!$B$7:$G$398,6,0)</f>
        <v>Green</v>
      </c>
      <c r="G10" s="13">
        <v>0</v>
      </c>
      <c r="H10" s="14">
        <f>VLOOKUP(D:D,'[1]Production Plan '!$B:$F,5,0)</f>
        <v>2.9</v>
      </c>
      <c r="I10" s="40"/>
      <c r="J10" s="42"/>
      <c r="K10" s="9">
        <f t="shared" si="0"/>
        <v>0</v>
      </c>
      <c r="L10" s="15" t="str">
        <f>VLOOKUP(D:D,[3]Sheet1!$A:$G,7,0)</f>
        <v>Thread-Green</v>
      </c>
      <c r="M10" s="45"/>
      <c r="N10" s="36"/>
      <c r="O10" s="36"/>
      <c r="P10" s="38"/>
    </row>
    <row r="11" spans="1:16" ht="38.25" x14ac:dyDescent="0.25">
      <c r="A11" s="8">
        <v>6</v>
      </c>
      <c r="B11" s="22" t="s">
        <v>26</v>
      </c>
      <c r="C11" s="9" t="s">
        <v>29</v>
      </c>
      <c r="D11" s="10">
        <v>11108</v>
      </c>
      <c r="E11" s="11" t="str">
        <f>VLOOKUP(D:D,'[1]Production Plan '!$B$7:$C$426,2,0)</f>
        <v>1.5 Inch Dia UPVC Pipe Class-Economy</v>
      </c>
      <c r="F11" s="12" t="str">
        <f>VLOOKUP(D11,'[2]Production Plan '!$B$7:$G$398,6,0)</f>
        <v>White</v>
      </c>
      <c r="G11" s="13">
        <v>450</v>
      </c>
      <c r="H11" s="14">
        <f>VLOOKUP(D:D,'[1]Production Plan '!$B:$F,5,0)</f>
        <v>1.8</v>
      </c>
      <c r="I11" s="27">
        <v>151</v>
      </c>
      <c r="J11" s="29" t="e">
        <f>I11/(K11+#REF!)</f>
        <v>#REF!</v>
      </c>
      <c r="K11" s="9">
        <f t="shared" si="0"/>
        <v>961</v>
      </c>
      <c r="L11" s="15" t="str">
        <f>VLOOKUP(D:D,[3]Sheet1!$A:$G,7,0)</f>
        <v>Economy- White</v>
      </c>
      <c r="M11" s="45"/>
      <c r="N11" s="25">
        <v>11</v>
      </c>
      <c r="O11" s="25">
        <f t="shared" si="1"/>
        <v>1</v>
      </c>
      <c r="P11" s="23" t="s">
        <v>99</v>
      </c>
    </row>
    <row r="12" spans="1:16" ht="15.75" x14ac:dyDescent="0.25">
      <c r="A12" s="8">
        <v>7</v>
      </c>
      <c r="B12" s="22" t="s">
        <v>28</v>
      </c>
      <c r="C12" s="20" t="s">
        <v>21</v>
      </c>
      <c r="D12" s="10">
        <v>11302</v>
      </c>
      <c r="E12" s="11" t="str">
        <f>VLOOKUP(D:D,'[1]Production Plan '!$B$7:$C$426,2,0)</f>
        <v>40 mm Dia UPVC Pipe Class ISO</v>
      </c>
      <c r="F12" s="12" t="str">
        <f>VLOOKUP(D12,'[2]Production Plan '!$B$7:$G$398,6,0)</f>
        <v>White</v>
      </c>
      <c r="G12" s="34">
        <v>610</v>
      </c>
      <c r="H12" s="14">
        <f>VLOOKUP(D:D,'[1]Production Plan '!$B:$F,5,0)</f>
        <v>1.3</v>
      </c>
      <c r="I12" s="13">
        <v>16</v>
      </c>
      <c r="J12" s="16">
        <f t="shared" si="2"/>
        <v>1.9777503090234856E-2</v>
      </c>
      <c r="K12" s="9">
        <f t="shared" si="0"/>
        <v>809</v>
      </c>
      <c r="L12" s="15" t="str">
        <f>VLOOKUP(D:D,[3]Sheet1!$A:$G,7,0)</f>
        <v>SWR-White</v>
      </c>
      <c r="M12" s="45"/>
      <c r="N12" s="17">
        <v>12</v>
      </c>
      <c r="O12" s="17">
        <f t="shared" si="1"/>
        <v>0</v>
      </c>
      <c r="P12" s="18"/>
    </row>
    <row r="13" spans="1:16" ht="63" x14ac:dyDescent="0.25">
      <c r="A13" s="8">
        <v>8</v>
      </c>
      <c r="B13" s="9" t="s">
        <v>30</v>
      </c>
      <c r="C13" s="9" t="s">
        <v>50</v>
      </c>
      <c r="D13" s="10">
        <v>11309</v>
      </c>
      <c r="E13" s="11" t="str">
        <f>VLOOKUP(D:D,'[1]Production Plan '!$B$7:$C$426,2,0)</f>
        <v>110mm Dia UPVC Pipe ISO-2</v>
      </c>
      <c r="F13" s="12" t="str">
        <f>VLOOKUP(D13,'[2]Production Plan '!$B$7:$G$398,6,0)</f>
        <v>White</v>
      </c>
      <c r="G13" s="13">
        <v>161</v>
      </c>
      <c r="H13" s="14">
        <f>VLOOKUP(D:D,'[1]Production Plan '!$B:$F,5,0)</f>
        <v>11</v>
      </c>
      <c r="I13" s="27">
        <v>79</v>
      </c>
      <c r="J13" s="29">
        <f t="shared" si="2"/>
        <v>4.2702702702702704E-2</v>
      </c>
      <c r="K13" s="9">
        <f t="shared" si="0"/>
        <v>1850</v>
      </c>
      <c r="L13" s="15" t="str">
        <f>VLOOKUP(D:D,[3]Sheet1!$A:$G,7,0)</f>
        <v>SWR-White</v>
      </c>
      <c r="M13" s="45"/>
      <c r="N13" s="25">
        <v>10</v>
      </c>
      <c r="O13" s="25">
        <f t="shared" si="1"/>
        <v>2</v>
      </c>
      <c r="P13" s="30" t="s">
        <v>100</v>
      </c>
    </row>
    <row r="14" spans="1:16" ht="31.5" x14ac:dyDescent="0.25">
      <c r="A14" s="8">
        <v>9</v>
      </c>
      <c r="B14" s="9" t="s">
        <v>32</v>
      </c>
      <c r="C14" s="9"/>
      <c r="D14" s="10">
        <v>11335</v>
      </c>
      <c r="E14" s="11" t="str">
        <f>VLOOKUP(D:D,'[1]Production Plan '!$B$7:$C$426,2,0)</f>
        <v>160mm Dia Upvc PN-8 Pipe</v>
      </c>
      <c r="F14" s="12" t="str">
        <f>VLOOKUP(D14,'[2]Production Plan '!$B$7:$G$398,6,0)</f>
        <v>White</v>
      </c>
      <c r="G14" s="13">
        <v>0</v>
      </c>
      <c r="H14" s="14">
        <f>VLOOKUP(D:D,'[1]Production Plan '!$B:$F,5,0)</f>
        <v>26.6</v>
      </c>
      <c r="I14" s="13">
        <v>0</v>
      </c>
      <c r="J14" s="16" t="e">
        <f t="shared" si="2"/>
        <v>#DIV/0!</v>
      </c>
      <c r="K14" s="9">
        <f t="shared" si="0"/>
        <v>0</v>
      </c>
      <c r="L14" s="15" t="str">
        <f>VLOOKUP(D:D,[3]Sheet1!$A:$G,7,0)</f>
        <v>STD-White</v>
      </c>
      <c r="M14" s="45"/>
      <c r="N14" s="17">
        <v>0</v>
      </c>
      <c r="O14" s="17">
        <f t="shared" si="1"/>
        <v>12</v>
      </c>
      <c r="P14" s="18" t="s">
        <v>52</v>
      </c>
    </row>
    <row r="15" spans="1:16" ht="31.5" x14ac:dyDescent="0.25">
      <c r="A15" s="8">
        <v>10</v>
      </c>
      <c r="B15" s="9" t="s">
        <v>33</v>
      </c>
      <c r="C15" s="20" t="s">
        <v>50</v>
      </c>
      <c r="D15" s="10">
        <v>12934</v>
      </c>
      <c r="E15" s="11" t="str">
        <f>VLOOKUP(D:D,'[1]Production Plan '!$B$7:$C$426,2,0)</f>
        <v>110 mm Dia Upvc Pipe SWR-3 SPL</v>
      </c>
      <c r="F15" s="12" t="str">
        <f>VLOOKUP(D15,'[2]Production Plan '!$B$7:$G$398,6,0)</f>
        <v>White</v>
      </c>
      <c r="G15" s="13">
        <v>61</v>
      </c>
      <c r="H15" s="14">
        <f>VLOOKUP(D:D,'[1]Production Plan '!$B:$F,5,0)</f>
        <v>12.7</v>
      </c>
      <c r="I15" s="13">
        <v>10</v>
      </c>
      <c r="J15" s="16">
        <f t="shared" si="2"/>
        <v>1.2743723716069837E-2</v>
      </c>
      <c r="K15" s="9">
        <f t="shared" si="0"/>
        <v>784.69999999999993</v>
      </c>
      <c r="L15" s="15" t="str">
        <f>VLOOKUP(D:D,[3]Sheet1!$A:$G,7,0)</f>
        <v>SWR-White</v>
      </c>
      <c r="M15" s="45"/>
      <c r="N15" s="17">
        <v>1</v>
      </c>
      <c r="O15" s="17">
        <f t="shared" si="1"/>
        <v>11</v>
      </c>
      <c r="P15" s="18" t="s">
        <v>85</v>
      </c>
    </row>
    <row r="16" spans="1:16" ht="63" x14ac:dyDescent="0.25">
      <c r="A16" s="8">
        <v>11</v>
      </c>
      <c r="B16" s="9" t="s">
        <v>34</v>
      </c>
      <c r="C16" s="20" t="s">
        <v>49</v>
      </c>
      <c r="D16" s="10">
        <v>11502</v>
      </c>
      <c r="E16" s="11" t="str">
        <f>VLOOKUP(D:D,'[1]Production Plan '!$B$7:$C$426,2,0)</f>
        <v>0.75 Inch Dia UPVC Thread Pipe</v>
      </c>
      <c r="F16" s="12" t="str">
        <f>VLOOKUP(D16,'[2]Production Plan '!$B$7:$G$398,6,0)</f>
        <v>Green</v>
      </c>
      <c r="G16" s="13">
        <v>500</v>
      </c>
      <c r="H16" s="14">
        <f>VLOOKUP(D:D,'[1]Production Plan '!$B:$F,5,0)</f>
        <v>1.24</v>
      </c>
      <c r="I16" s="13">
        <v>115</v>
      </c>
      <c r="J16" s="16">
        <f t="shared" si="2"/>
        <v>0.15646258503401361</v>
      </c>
      <c r="K16" s="9">
        <f t="shared" si="0"/>
        <v>735</v>
      </c>
      <c r="L16" s="15" t="str">
        <f>VLOOKUP(D:D,[3]Sheet1!$A:$G,7,0)</f>
        <v>Thread-Green</v>
      </c>
      <c r="M16" s="45"/>
      <c r="N16" s="17">
        <v>10</v>
      </c>
      <c r="O16" s="17">
        <f t="shared" si="1"/>
        <v>2</v>
      </c>
      <c r="P16" s="18" t="s">
        <v>100</v>
      </c>
    </row>
    <row r="17" spans="1:16" ht="15.75" x14ac:dyDescent="0.25">
      <c r="A17" s="8">
        <v>12</v>
      </c>
      <c r="B17" s="9" t="s">
        <v>35</v>
      </c>
      <c r="C17" s="9" t="s">
        <v>27</v>
      </c>
      <c r="D17" s="10">
        <v>11391</v>
      </c>
      <c r="E17" s="11" t="str">
        <f>VLOOKUP(D:D,'[1]Production Plan '!$B$7:$C$426,2,0)</f>
        <v>4 Inch Dia UPVC Pipe Class-D SPL</v>
      </c>
      <c r="F17" s="12" t="str">
        <f>VLOOKUP(D17,'[2]Production Plan '!$B$7:$G$398,6,0)</f>
        <v>Grey</v>
      </c>
      <c r="G17" s="13">
        <v>138</v>
      </c>
      <c r="H17" s="14">
        <f>VLOOKUP(D:D,'[1]Production Plan '!$B:$F,5,0)</f>
        <v>20</v>
      </c>
      <c r="I17" s="39">
        <v>90</v>
      </c>
      <c r="J17" s="41">
        <f>I17/(K17+K18)</f>
        <v>2.7190332326283987E-2</v>
      </c>
      <c r="K17" s="9">
        <f t="shared" si="0"/>
        <v>2850</v>
      </c>
      <c r="L17" s="15" t="str">
        <f>VLOOKUP(D:D,[3]Sheet1!$A:$G,7,0)</f>
        <v>Three Layer</v>
      </c>
      <c r="M17" s="45"/>
      <c r="N17" s="35">
        <v>12</v>
      </c>
      <c r="O17" s="35">
        <f t="shared" si="1"/>
        <v>0</v>
      </c>
      <c r="P17" s="37" t="s">
        <v>61</v>
      </c>
    </row>
    <row r="18" spans="1:16" ht="15.75" x14ac:dyDescent="0.25">
      <c r="A18" s="8">
        <v>13</v>
      </c>
      <c r="B18" s="9" t="s">
        <v>35</v>
      </c>
      <c r="C18" s="9" t="s">
        <v>21</v>
      </c>
      <c r="D18" s="10">
        <v>11399</v>
      </c>
      <c r="E18" s="11" t="str">
        <f>VLOOKUP(D:D,'[1]Production Plan '!$B$7:$C$426,2,0)</f>
        <v>4 Inch Dia Upvc Pipe Class -D SPL Filter</v>
      </c>
      <c r="F18" s="12" t="str">
        <f>VLOOKUP(D18,'[2]Production Plan '!$B$7:$G$398,6,0)</f>
        <v>Grey</v>
      </c>
      <c r="G18" s="13">
        <v>46</v>
      </c>
      <c r="H18" s="14">
        <f>VLOOKUP(D:D,'[1]Production Plan '!$B:$F,5,0)</f>
        <v>10</v>
      </c>
      <c r="I18" s="40"/>
      <c r="J18" s="42"/>
      <c r="K18" s="9">
        <f t="shared" si="0"/>
        <v>460</v>
      </c>
      <c r="L18" s="15" t="str">
        <f>VLOOKUP(D:D,[3]Sheet1!$A:$G,7,0)</f>
        <v xml:space="preserve">Three Layer </v>
      </c>
      <c r="M18" s="45"/>
      <c r="N18" s="36"/>
      <c r="O18" s="36"/>
      <c r="P18" s="38"/>
    </row>
    <row r="19" spans="1:16" ht="15.75" x14ac:dyDescent="0.25">
      <c r="A19" s="8">
        <v>14</v>
      </c>
      <c r="B19" s="9" t="s">
        <v>36</v>
      </c>
      <c r="C19" s="9" t="s">
        <v>89</v>
      </c>
      <c r="D19" s="10">
        <v>11338</v>
      </c>
      <c r="E19" s="11" t="str">
        <f>VLOOKUP(D:D,'[1]Production Plan '!$B$7:$C$426,2,0)</f>
        <v>160 mm UPVC Pipe SWR- Special</v>
      </c>
      <c r="F19" s="12" t="str">
        <f>VLOOKUP(D19,'[2]Production Plan '!$B$7:$G$398,6,0)</f>
        <v>White</v>
      </c>
      <c r="G19" s="13">
        <v>37</v>
      </c>
      <c r="H19" s="14">
        <f>VLOOKUP(D:D,'[1]Production Plan '!$B:$F,5,0)</f>
        <v>16.2</v>
      </c>
      <c r="I19" s="39">
        <v>45</v>
      </c>
      <c r="J19" s="41">
        <f>I19/(K19)</f>
        <v>6.9832402234636867E-2</v>
      </c>
      <c r="K19" s="9">
        <f t="shared" si="0"/>
        <v>644.4</v>
      </c>
      <c r="L19" s="15" t="str">
        <f>VLOOKUP(D:D,[3]Sheet1!$A:$G,7,0)</f>
        <v>Economy- White</v>
      </c>
      <c r="M19" s="45"/>
      <c r="N19" s="35">
        <v>12</v>
      </c>
      <c r="O19" s="35">
        <f t="shared" si="1"/>
        <v>0</v>
      </c>
      <c r="P19" s="37" t="s">
        <v>101</v>
      </c>
    </row>
    <row r="20" spans="1:16" ht="15.75" x14ac:dyDescent="0.25">
      <c r="A20" s="8">
        <v>15</v>
      </c>
      <c r="B20" s="9" t="s">
        <v>36</v>
      </c>
      <c r="C20" s="9" t="s">
        <v>21</v>
      </c>
      <c r="D20" s="10">
        <v>11358</v>
      </c>
      <c r="E20" s="11" t="str">
        <f>VLOOKUP(D:D,'[1]Production Plan '!$B$7:$C$426,2,0)</f>
        <v>160 mm Dia Upvc Pipe SWR-SP</v>
      </c>
      <c r="F20" s="12" t="str">
        <f>VLOOKUP(D20,'[2]Production Plan '!$B$7:$G$398,6,0)</f>
        <v>Grey</v>
      </c>
      <c r="G20" s="13">
        <v>93</v>
      </c>
      <c r="H20" s="14">
        <f>VLOOKUP(D:D,'[1]Production Plan '!$B:$F,5,0)</f>
        <v>16</v>
      </c>
      <c r="I20" s="40"/>
      <c r="J20" s="42"/>
      <c r="K20" s="9">
        <f t="shared" si="0"/>
        <v>1488</v>
      </c>
      <c r="L20" s="15"/>
      <c r="M20" s="45"/>
      <c r="N20" s="36"/>
      <c r="O20" s="36"/>
      <c r="P20" s="38"/>
    </row>
    <row r="21" spans="1:16" ht="15.75" x14ac:dyDescent="0.25">
      <c r="A21" s="8">
        <v>16</v>
      </c>
      <c r="B21" s="9" t="s">
        <v>38</v>
      </c>
      <c r="C21" s="9" t="s">
        <v>21</v>
      </c>
      <c r="D21" s="10">
        <v>11309</v>
      </c>
      <c r="E21" s="11" t="str">
        <f>VLOOKUP(D:D,'[1]Production Plan '!$B$7:$C$426,2,0)</f>
        <v>110mm Dia UPVC Pipe ISO-2</v>
      </c>
      <c r="F21" s="12" t="str">
        <f>VLOOKUP(D21,'[2]Production Plan '!$B$7:$G$398,6,0)</f>
        <v>White</v>
      </c>
      <c r="G21" s="13">
        <v>21</v>
      </c>
      <c r="H21" s="14">
        <f>VLOOKUP(D:D,'[1]Production Plan '!$B:$F,5,0)</f>
        <v>11</v>
      </c>
      <c r="I21" s="39">
        <v>21</v>
      </c>
      <c r="J21" s="41">
        <f t="shared" ref="J21:J27" si="3">I21/(K21)</f>
        <v>8.3333333333333329E-2</v>
      </c>
      <c r="K21" s="9">
        <f t="shared" si="0"/>
        <v>252</v>
      </c>
      <c r="L21" s="15" t="str">
        <f>VLOOKUP(D:D,[3]Sheet1!$A:$G,7,0)</f>
        <v>SWR-White</v>
      </c>
      <c r="M21" s="45"/>
      <c r="N21" s="35">
        <v>12</v>
      </c>
      <c r="O21" s="35">
        <f t="shared" si="1"/>
        <v>0</v>
      </c>
      <c r="P21" s="54" t="s">
        <v>101</v>
      </c>
    </row>
    <row r="22" spans="1:16" ht="15.75" x14ac:dyDescent="0.25">
      <c r="A22" s="8">
        <v>17</v>
      </c>
      <c r="B22" s="9" t="s">
        <v>38</v>
      </c>
      <c r="C22" s="9" t="s">
        <v>21</v>
      </c>
      <c r="D22" s="10">
        <v>12934</v>
      </c>
      <c r="E22" s="11" t="str">
        <f>VLOOKUP(D:D,'[1]Production Plan '!$B$7:$C$426,2,0)</f>
        <v>110 mm Dia Upvc Pipe SWR-3 SPL</v>
      </c>
      <c r="F22" s="12" t="str">
        <f>VLOOKUP(D22,'[2]Production Plan '!$B$7:$G$398,6,0)</f>
        <v>White</v>
      </c>
      <c r="G22" s="13">
        <v>166</v>
      </c>
      <c r="H22" s="14">
        <f>VLOOKUP(D:D,'[1]Production Plan '!$B:$F,5,0)</f>
        <v>12.7</v>
      </c>
      <c r="I22" s="58"/>
      <c r="J22" s="49"/>
      <c r="K22" s="9">
        <f t="shared" si="0"/>
        <v>2108.1999999999998</v>
      </c>
      <c r="L22" s="15"/>
      <c r="M22" s="45"/>
      <c r="N22" s="50"/>
      <c r="O22" s="50"/>
      <c r="P22" s="59"/>
    </row>
    <row r="23" spans="1:16" ht="31.5" x14ac:dyDescent="0.25">
      <c r="A23" s="8">
        <v>18</v>
      </c>
      <c r="B23" s="9" t="s">
        <v>39</v>
      </c>
      <c r="C23" s="9" t="s">
        <v>90</v>
      </c>
      <c r="D23" s="10">
        <v>11130</v>
      </c>
      <c r="E23" s="11" t="str">
        <f>VLOOKUP(D:D,'[1]Production Plan '!$B$7:$C$426,2,0)</f>
        <v>2 Inch Dia UPVC Pipe Class D</v>
      </c>
      <c r="F23" s="12" t="str">
        <f>VLOOKUP(D23,'[2]Production Plan '!$B$7:$G$398,6,0)</f>
        <v>Grey</v>
      </c>
      <c r="G23" s="13">
        <v>460</v>
      </c>
      <c r="H23" s="14">
        <f>VLOOKUP(D:D,'[1]Production Plan '!$B:$F,5,0)</f>
        <v>4.0999999999999996</v>
      </c>
      <c r="I23" s="13">
        <v>82</v>
      </c>
      <c r="J23" s="16">
        <f t="shared" si="3"/>
        <v>4.1666666666666671E-2</v>
      </c>
      <c r="K23" s="9">
        <f t="shared" si="0"/>
        <v>1967.9999999999998</v>
      </c>
      <c r="L23" s="15" t="str">
        <f>VLOOKUP(D:D,[3]Sheet1!$A:$G,7,0)</f>
        <v>SBS-Grey</v>
      </c>
      <c r="M23" s="45"/>
      <c r="N23" s="17">
        <v>12</v>
      </c>
      <c r="O23" s="17">
        <f t="shared" si="1"/>
        <v>0</v>
      </c>
      <c r="P23" s="18" t="s">
        <v>48</v>
      </c>
    </row>
    <row r="24" spans="1:16" ht="31.5" x14ac:dyDescent="0.25">
      <c r="A24" s="8">
        <v>19</v>
      </c>
      <c r="B24" s="9" t="s">
        <v>40</v>
      </c>
      <c r="C24" s="9" t="s">
        <v>21</v>
      </c>
      <c r="D24" s="10">
        <v>12537</v>
      </c>
      <c r="E24" s="11" t="str">
        <f>VLOOKUP(D:D,'[1]Production Plan '!$B$7:$C$426,2,0)</f>
        <v>80mm Dia Upvc Pipe SWR-Special (White)</v>
      </c>
      <c r="F24" s="12" t="str">
        <f>VLOOKUP(D24,'[2]Production Plan '!$B$7:$G$398,6,0)</f>
        <v>White</v>
      </c>
      <c r="G24" s="13">
        <v>59</v>
      </c>
      <c r="H24" s="14">
        <f>VLOOKUP(D:D,'[1]Production Plan '!$B:$F,5,0)</f>
        <v>5.4</v>
      </c>
      <c r="I24" s="13">
        <v>0</v>
      </c>
      <c r="J24" s="16">
        <f t="shared" si="3"/>
        <v>0</v>
      </c>
      <c r="K24" s="9">
        <f t="shared" si="0"/>
        <v>318.60000000000002</v>
      </c>
      <c r="L24" s="15" t="str">
        <f>VLOOKUP(D:D,[3]Sheet1!$A:$G,7,0)</f>
        <v>SWR-White</v>
      </c>
      <c r="M24" s="45"/>
      <c r="N24" s="17">
        <v>1</v>
      </c>
      <c r="O24" s="17">
        <f t="shared" si="1"/>
        <v>11</v>
      </c>
      <c r="P24" s="18" t="s">
        <v>52</v>
      </c>
    </row>
    <row r="25" spans="1:16" ht="110.25" x14ac:dyDescent="0.25">
      <c r="A25" s="8">
        <v>20</v>
      </c>
      <c r="B25" s="9" t="s">
        <v>41</v>
      </c>
      <c r="C25" s="9" t="s">
        <v>20</v>
      </c>
      <c r="D25" s="10">
        <v>11503</v>
      </c>
      <c r="E25" s="11" t="str">
        <f>VLOOKUP(D:D,'[1]Production Plan '!$B$7:$C$426,2,0)</f>
        <v>1 Inch Dia UPVC Thread Pipe</v>
      </c>
      <c r="F25" s="12" t="str">
        <f>VLOOKUP(D25,'[2]Production Plan '!$B$7:$G$398,6,0)</f>
        <v>Green</v>
      </c>
      <c r="G25" s="13">
        <v>180</v>
      </c>
      <c r="H25" s="14">
        <f>VLOOKUP(D:D,'[1]Production Plan '!$B:$F,5,0)</f>
        <v>1.65</v>
      </c>
      <c r="I25" s="13">
        <v>459</v>
      </c>
      <c r="J25" s="16">
        <f t="shared" si="3"/>
        <v>0.6071428571428571</v>
      </c>
      <c r="K25" s="9">
        <f t="shared" si="0"/>
        <v>756</v>
      </c>
      <c r="L25" s="15" t="str">
        <f>VLOOKUP(D:D,[3]Sheet1!$A:$G,7,0)</f>
        <v>Thread-Green</v>
      </c>
      <c r="M25" s="45"/>
      <c r="N25" s="17">
        <v>5</v>
      </c>
      <c r="O25" s="17">
        <f t="shared" si="1"/>
        <v>7</v>
      </c>
      <c r="P25" s="18" t="s">
        <v>102</v>
      </c>
    </row>
    <row r="26" spans="1:16" ht="15.75" x14ac:dyDescent="0.25">
      <c r="A26" s="8">
        <v>21</v>
      </c>
      <c r="B26" s="9" t="s">
        <v>42</v>
      </c>
      <c r="C26" s="9" t="s">
        <v>47</v>
      </c>
      <c r="D26" s="10">
        <v>12570</v>
      </c>
      <c r="E26" s="11" t="str">
        <f>VLOOKUP(D:D,'[1]Production Plan '!$B$7:$C$426,2,0)</f>
        <v>1 Inc HDPE Coil Pipe-Green</v>
      </c>
      <c r="F26" s="12" t="str">
        <f>VLOOKUP(D26,'[2]Production Plan '!$B$7:$G$398,6,0)</f>
        <v>Green</v>
      </c>
      <c r="G26" s="13">
        <v>29</v>
      </c>
      <c r="H26" s="14">
        <f>VLOOKUP(D:D,'[1]Production Plan '!$B:$F,5,0)</f>
        <v>35</v>
      </c>
      <c r="I26" s="13">
        <v>30</v>
      </c>
      <c r="J26" s="16">
        <f t="shared" si="3"/>
        <v>2.8708133971291867E-2</v>
      </c>
      <c r="K26" s="9">
        <f t="shared" si="0"/>
        <v>1045</v>
      </c>
      <c r="L26" s="15" t="str">
        <f>VLOOKUP(D:D,[3]Sheet1!$A:$G,7,0)</f>
        <v>HDPE D/L Green</v>
      </c>
      <c r="M26" s="45"/>
      <c r="N26" s="17">
        <v>12</v>
      </c>
      <c r="O26" s="17">
        <f t="shared" si="1"/>
        <v>0</v>
      </c>
      <c r="P26" s="18"/>
    </row>
    <row r="27" spans="1:16" ht="15.75" x14ac:dyDescent="0.25">
      <c r="A27" s="8">
        <v>22</v>
      </c>
      <c r="B27" s="9" t="s">
        <v>43</v>
      </c>
      <c r="C27" s="9" t="s">
        <v>51</v>
      </c>
      <c r="D27" s="10">
        <v>11317</v>
      </c>
      <c r="E27" s="11" t="str">
        <f>VLOOKUP(D:D,'[1]Production Plan '!$B$7:$C$426,2,0)</f>
        <v>110mm Dia Upvc Pipe SWR-1 Special (White)</v>
      </c>
      <c r="F27" s="12" t="str">
        <f>VLOOKUP(D27,'[2]Production Plan '!$B$7:$G$398,6,0)</f>
        <v>White</v>
      </c>
      <c r="G27" s="13">
        <v>492</v>
      </c>
      <c r="H27" s="14">
        <f>VLOOKUP(D:D,'[1]Production Plan '!$B:$F,5,0)</f>
        <v>10</v>
      </c>
      <c r="I27" s="13">
        <v>196</v>
      </c>
      <c r="J27" s="16">
        <f t="shared" si="3"/>
        <v>3.8311180609851447E-2</v>
      </c>
      <c r="K27" s="9">
        <f t="shared" si="0"/>
        <v>5116</v>
      </c>
      <c r="L27" s="15" t="str">
        <f>VLOOKUP(D:D,[3]Sheet1!$A:$G,7,0)</f>
        <v>SWR-White</v>
      </c>
      <c r="M27" s="45"/>
      <c r="N27" s="17">
        <v>12</v>
      </c>
      <c r="O27" s="17">
        <f t="shared" si="1"/>
        <v>0</v>
      </c>
      <c r="P27" s="18"/>
    </row>
    <row r="28" spans="1:16" ht="15.75" x14ac:dyDescent="0.25">
      <c r="A28" s="8">
        <v>23</v>
      </c>
      <c r="B28" s="9" t="s">
        <v>44</v>
      </c>
      <c r="C28" s="9" t="s">
        <v>47</v>
      </c>
      <c r="D28" s="10">
        <v>13387</v>
      </c>
      <c r="E28" s="11" t="str">
        <f>VLOOKUP(D:D,'[1]Production Plan '!$B$7:$C$426,2,0)</f>
        <v>CPVC Pipe 3/4''(20mm)X3M-SDR-13.5</v>
      </c>
      <c r="F28" s="12" t="str">
        <f>VLOOKUP(D28,'[2]Production Plan '!$B$7:$G$398,6,0)</f>
        <v>Off White</v>
      </c>
      <c r="G28" s="13">
        <v>0</v>
      </c>
      <c r="H28" s="14">
        <f>VLOOKUP(D:D,'[1]Production Plan '!$B:$F,5,0)</f>
        <v>0.55000000000000004</v>
      </c>
      <c r="I28" s="39">
        <v>20</v>
      </c>
      <c r="J28" s="41">
        <f>I29/(K29)</f>
        <v>0</v>
      </c>
      <c r="K28" s="9">
        <f t="shared" si="0"/>
        <v>20</v>
      </c>
      <c r="L28" s="15"/>
      <c r="M28" s="45"/>
      <c r="N28" s="35">
        <v>12</v>
      </c>
      <c r="O28" s="35">
        <f>12-N28</f>
        <v>0</v>
      </c>
      <c r="P28" s="37"/>
    </row>
    <row r="29" spans="1:16" ht="15.75" x14ac:dyDescent="0.25">
      <c r="A29" s="8">
        <v>24</v>
      </c>
      <c r="B29" s="9" t="s">
        <v>44</v>
      </c>
      <c r="C29" s="9" t="s">
        <v>47</v>
      </c>
      <c r="D29" s="10">
        <v>13388</v>
      </c>
      <c r="E29" s="11" t="str">
        <f>VLOOKUP(D:D,'[1]Production Plan '!$B$7:$C$426,2,0)</f>
        <v>CPVC Pipe 1''(25mm)X3M-SDR-13.5</v>
      </c>
      <c r="F29" s="12" t="str">
        <f>VLOOKUP(D29,'[2]Production Plan '!$B$7:$G$398,6,0)</f>
        <v>Off White</v>
      </c>
      <c r="G29" s="13">
        <v>910</v>
      </c>
      <c r="H29" s="14">
        <f>VLOOKUP(D:D,'[1]Production Plan '!$B:$F,5,0)</f>
        <v>0.9</v>
      </c>
      <c r="I29" s="40"/>
      <c r="J29" s="42"/>
      <c r="K29" s="9">
        <f t="shared" si="0"/>
        <v>819</v>
      </c>
      <c r="L29" s="15" t="str">
        <f>VLOOKUP(D:D,[3]Sheet1!$A:$G,7,0)</f>
        <v>Com..</v>
      </c>
      <c r="M29" s="45"/>
      <c r="N29" s="36"/>
      <c r="O29" s="36"/>
      <c r="P29" s="38"/>
    </row>
    <row r="30" spans="1:16" ht="15.75" x14ac:dyDescent="0.25">
      <c r="A30" s="8"/>
      <c r="B30" s="9"/>
      <c r="C30" s="9"/>
      <c r="D30" s="9"/>
      <c r="E30" s="11"/>
      <c r="F30" s="12"/>
      <c r="G30" s="7"/>
      <c r="H30" s="14"/>
      <c r="I30" s="21">
        <f>SUM(I6:I29)</f>
        <v>1651</v>
      </c>
      <c r="J30" s="21"/>
      <c r="K30" s="21">
        <f>SUM(K6:K29)</f>
        <v>28645.3</v>
      </c>
      <c r="L30" s="15"/>
      <c r="M30" s="45"/>
      <c r="N30" s="17"/>
      <c r="O30" s="17"/>
      <c r="P30" s="9"/>
    </row>
  </sheetData>
  <mergeCells count="29">
    <mergeCell ref="N28:N29"/>
    <mergeCell ref="O28:O29"/>
    <mergeCell ref="P28:P29"/>
    <mergeCell ref="N19:N20"/>
    <mergeCell ref="O19:O20"/>
    <mergeCell ref="P19:P20"/>
    <mergeCell ref="I21:I22"/>
    <mergeCell ref="J21:J22"/>
    <mergeCell ref="N21:N22"/>
    <mergeCell ref="O21:O22"/>
    <mergeCell ref="P21:P22"/>
    <mergeCell ref="N9:N10"/>
    <mergeCell ref="O9:O10"/>
    <mergeCell ref="P9:P10"/>
    <mergeCell ref="I17:I18"/>
    <mergeCell ref="J17:J18"/>
    <mergeCell ref="N17:N18"/>
    <mergeCell ref="O17:O18"/>
    <mergeCell ref="P17:P18"/>
    <mergeCell ref="F1:J1"/>
    <mergeCell ref="F2:J2"/>
    <mergeCell ref="F3:L3"/>
    <mergeCell ref="M6:M30"/>
    <mergeCell ref="I9:I10"/>
    <mergeCell ref="J9:J10"/>
    <mergeCell ref="I19:I20"/>
    <mergeCell ref="J19:J20"/>
    <mergeCell ref="I28:I29"/>
    <mergeCell ref="J28:J29"/>
  </mergeCells>
  <conditionalFormatting sqref="E29:E30 E6:E27">
    <cfRule type="duplicateValues" dxfId="33" priority="2"/>
  </conditionalFormatting>
  <conditionalFormatting sqref="E28">
    <cfRule type="duplicateValues" dxfId="32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30"/>
  <sheetViews>
    <sheetView topLeftCell="A7" workbookViewId="0">
      <selection activeCell="K31" sqref="K31"/>
    </sheetView>
  </sheetViews>
  <sheetFormatPr defaultRowHeight="15" x14ac:dyDescent="0.25"/>
  <cols>
    <col min="11" max="11" width="9.5703125" bestFit="1" customWidth="1"/>
  </cols>
  <sheetData>
    <row r="1" spans="1:16" ht="15.75" x14ac:dyDescent="0.25">
      <c r="A1" s="32"/>
      <c r="B1" s="32"/>
      <c r="C1" s="32"/>
      <c r="D1" s="32"/>
      <c r="E1" s="32"/>
      <c r="F1" s="43" t="s">
        <v>0</v>
      </c>
      <c r="G1" s="43"/>
      <c r="H1" s="43"/>
      <c r="I1" s="43"/>
      <c r="J1" s="43"/>
      <c r="K1" s="32"/>
      <c r="L1" s="32"/>
      <c r="M1" s="32"/>
      <c r="N1" s="32"/>
      <c r="O1" s="32"/>
      <c r="P1" s="32"/>
    </row>
    <row r="2" spans="1:16" ht="15.75" x14ac:dyDescent="0.25">
      <c r="A2" s="32"/>
      <c r="B2" s="1"/>
      <c r="C2" s="2"/>
      <c r="D2" s="32"/>
      <c r="E2" s="32"/>
      <c r="F2" s="43" t="s">
        <v>1</v>
      </c>
      <c r="G2" s="43"/>
      <c r="H2" s="43"/>
      <c r="I2" s="43"/>
      <c r="J2" s="43"/>
      <c r="K2" s="32"/>
      <c r="L2" s="32"/>
      <c r="M2" s="32"/>
      <c r="N2" s="3"/>
      <c r="O2" s="32"/>
      <c r="P2" s="32"/>
    </row>
    <row r="3" spans="1:16" ht="15.75" x14ac:dyDescent="0.25">
      <c r="A3" s="32"/>
      <c r="B3" s="32"/>
      <c r="C3" s="32"/>
      <c r="D3" s="32"/>
      <c r="E3" s="32"/>
      <c r="F3" s="44" t="s">
        <v>2</v>
      </c>
      <c r="G3" s="44"/>
      <c r="H3" s="44"/>
      <c r="I3" s="44"/>
      <c r="J3" s="44"/>
      <c r="K3" s="44"/>
      <c r="L3" s="44"/>
      <c r="M3" s="32"/>
      <c r="N3" s="32"/>
      <c r="O3" s="32"/>
      <c r="P3" s="32"/>
    </row>
    <row r="4" spans="1:16" ht="15.75" x14ac:dyDescent="0.25">
      <c r="A4" s="32"/>
      <c r="B4" s="32"/>
      <c r="C4" s="32"/>
      <c r="D4" s="32"/>
      <c r="E4" s="4" t="s">
        <v>59</v>
      </c>
      <c r="F4" s="32"/>
      <c r="G4" s="32"/>
      <c r="H4" s="32"/>
      <c r="I4" s="32"/>
      <c r="J4" s="32"/>
      <c r="K4" s="32"/>
      <c r="L4" s="5"/>
      <c r="M4" s="32"/>
      <c r="N4" s="32"/>
      <c r="O4" s="32"/>
      <c r="P4" s="6"/>
    </row>
    <row r="5" spans="1:16" ht="78.75" x14ac:dyDescent="0.25">
      <c r="A5" s="7" t="s">
        <v>3</v>
      </c>
      <c r="B5" s="7" t="s">
        <v>4</v>
      </c>
      <c r="C5" s="7" t="s">
        <v>5</v>
      </c>
      <c r="D5" s="7" t="s">
        <v>6</v>
      </c>
      <c r="E5" s="7" t="s">
        <v>7</v>
      </c>
      <c r="F5" s="7" t="s">
        <v>8</v>
      </c>
      <c r="G5" s="7" t="s">
        <v>9</v>
      </c>
      <c r="H5" s="7" t="s">
        <v>10</v>
      </c>
      <c r="I5" s="7" t="s">
        <v>11</v>
      </c>
      <c r="J5" s="7" t="s">
        <v>12</v>
      </c>
      <c r="K5" s="7" t="s">
        <v>13</v>
      </c>
      <c r="L5" s="7" t="s">
        <v>14</v>
      </c>
      <c r="M5" s="7" t="s">
        <v>15</v>
      </c>
      <c r="N5" s="7" t="s">
        <v>16</v>
      </c>
      <c r="O5" s="7" t="s">
        <v>17</v>
      </c>
      <c r="P5" s="7" t="s">
        <v>18</v>
      </c>
    </row>
    <row r="6" spans="1:16" ht="31.5" x14ac:dyDescent="0.25">
      <c r="A6" s="8">
        <v>1</v>
      </c>
      <c r="B6" s="9" t="s">
        <v>19</v>
      </c>
      <c r="C6" s="9"/>
      <c r="D6" s="10">
        <v>11141</v>
      </c>
      <c r="E6" s="11" t="str">
        <f>VLOOKUP(D:D,'[1]Production Plan '!$B$7:$C$426,2,0)</f>
        <v>4 Inch Upvc Pipe Star (Gray 20 Ft )</v>
      </c>
      <c r="F6" s="12" t="str">
        <f>VLOOKUP(D6,'[2]Production Plan '!$B$7:$G$398,6,0)</f>
        <v>Grey</v>
      </c>
      <c r="G6" s="13">
        <v>0</v>
      </c>
      <c r="H6" s="14">
        <f>VLOOKUP(D:D,'[1]Production Plan '!$B:$F,5,0)</f>
        <v>12.5</v>
      </c>
      <c r="I6" s="13">
        <v>0</v>
      </c>
      <c r="J6" s="16" t="e">
        <f>I6/(K6)</f>
        <v>#DIV/0!</v>
      </c>
      <c r="K6" s="9">
        <f>G6*H6+I6</f>
        <v>0</v>
      </c>
      <c r="L6" s="15" t="str">
        <f>VLOOKUP(D:D,[3]Sheet1!$A:$G,7,0)</f>
        <v>SWR-Grey</v>
      </c>
      <c r="M6" s="45">
        <f>I30/K30</f>
        <v>6.3223047710165861E-2</v>
      </c>
      <c r="N6" s="17">
        <v>0</v>
      </c>
      <c r="O6" s="17">
        <f>12-N6</f>
        <v>12</v>
      </c>
      <c r="P6" s="18" t="s">
        <v>52</v>
      </c>
    </row>
    <row r="7" spans="1:16" ht="15.75" x14ac:dyDescent="0.25">
      <c r="A7" s="8">
        <v>2</v>
      </c>
      <c r="B7" s="9" t="s">
        <v>22</v>
      </c>
      <c r="C7" s="9" t="s">
        <v>58</v>
      </c>
      <c r="D7" s="10">
        <v>11348</v>
      </c>
      <c r="E7" s="11" t="str">
        <f>VLOOKUP(D:D,'[1]Production Plan '!$B$7:$C$426,2,0)</f>
        <v>200mm Upvc SWR Pipe (PN-8)</v>
      </c>
      <c r="F7" s="12" t="str">
        <f>VLOOKUP(D7,'[2]Production Plan '!$B$7:$G$398,6,0)</f>
        <v>White</v>
      </c>
      <c r="G7" s="13">
        <v>57</v>
      </c>
      <c r="H7" s="14">
        <f>VLOOKUP(D:D,'[1]Production Plan '!$B:$F,5,0)</f>
        <v>39.200000000000003</v>
      </c>
      <c r="I7" s="46">
        <v>184</v>
      </c>
      <c r="J7" s="41">
        <f>I7/(K7+K8)</f>
        <v>5.8929028952088139E-2</v>
      </c>
      <c r="K7" s="9">
        <f t="shared" ref="K7:K29" si="0">G7*H7+I7</f>
        <v>2418.4</v>
      </c>
      <c r="L7" s="15" t="str">
        <f>VLOOKUP(D:D,[3]Sheet1!$A:$G,7,0)</f>
        <v>STD-White</v>
      </c>
      <c r="M7" s="45"/>
      <c r="N7" s="35">
        <v>8</v>
      </c>
      <c r="O7" s="35">
        <f t="shared" ref="O7:O28" si="1">12-N7</f>
        <v>4</v>
      </c>
      <c r="P7" s="37" t="s">
        <v>55</v>
      </c>
    </row>
    <row r="8" spans="1:16" ht="15.75" x14ac:dyDescent="0.25">
      <c r="A8" s="8">
        <v>3</v>
      </c>
      <c r="B8" s="9" t="s">
        <v>22</v>
      </c>
      <c r="C8" s="9" t="s">
        <v>21</v>
      </c>
      <c r="D8" s="10">
        <v>11346</v>
      </c>
      <c r="E8" s="11" t="str">
        <f>VLOOKUP(D:D,'[1]Production Plan '!$B$7:$C$426,2,0)</f>
        <v>200 MM Dia UPVC Pipe SWR-2</v>
      </c>
      <c r="F8" s="12" t="str">
        <f>VLOOKUP(D8,'[2]Production Plan '!$B$7:$G$398,6,0)</f>
        <v>White</v>
      </c>
      <c r="G8" s="13">
        <v>20</v>
      </c>
      <c r="H8" s="14">
        <f>VLOOKUP(D:D,'[1]Production Plan '!$B:$F,5,0)</f>
        <v>35.200000000000003</v>
      </c>
      <c r="I8" s="47"/>
      <c r="J8" s="42"/>
      <c r="K8" s="9">
        <f t="shared" si="0"/>
        <v>704</v>
      </c>
      <c r="L8" s="15" t="str">
        <f>VLOOKUP(D:D,[3]Sheet1!$A:$G,7,0)</f>
        <v>SWR-White</v>
      </c>
      <c r="M8" s="45"/>
      <c r="N8" s="36"/>
      <c r="O8" s="36"/>
      <c r="P8" s="38"/>
    </row>
    <row r="9" spans="1:16" ht="31.5" x14ac:dyDescent="0.25">
      <c r="A9" s="8">
        <v>4</v>
      </c>
      <c r="B9" s="9" t="s">
        <v>24</v>
      </c>
      <c r="C9" s="19"/>
      <c r="D9" s="10">
        <v>11105</v>
      </c>
      <c r="E9" s="11" t="str">
        <f>VLOOKUP(D:D,'[1]Production Plan '!$B$7:$C$426,2,0)</f>
        <v>1 Inch Dia Upvc Pipe Class-D</v>
      </c>
      <c r="F9" s="12" t="str">
        <f>VLOOKUP(D9,'[2]Production Plan '!$B$7:$G$398,6,0)</f>
        <v>Grey</v>
      </c>
      <c r="G9" s="13">
        <v>0</v>
      </c>
      <c r="H9" s="14">
        <f>VLOOKUP(D:D,'[1]Production Plan '!$B:$F,5,0)</f>
        <v>0.85</v>
      </c>
      <c r="I9" s="13">
        <v>0</v>
      </c>
      <c r="J9" s="16" t="e">
        <f t="shared" ref="J9:J17" si="2">I9/(K9)</f>
        <v>#DIV/0!</v>
      </c>
      <c r="K9" s="9">
        <f t="shared" si="0"/>
        <v>0</v>
      </c>
      <c r="L9" s="15" t="str">
        <f>VLOOKUP(D:D,[3]Sheet1!$A:$G,7,0)</f>
        <v>STD-Grey</v>
      </c>
      <c r="M9" s="45"/>
      <c r="N9" s="17">
        <v>0</v>
      </c>
      <c r="O9" s="17">
        <f t="shared" si="1"/>
        <v>12</v>
      </c>
      <c r="P9" s="18" t="s">
        <v>52</v>
      </c>
    </row>
    <row r="10" spans="1:16" ht="15.75" x14ac:dyDescent="0.25">
      <c r="A10" s="8">
        <v>5</v>
      </c>
      <c r="B10" s="9" t="s">
        <v>25</v>
      </c>
      <c r="C10" s="19" t="s">
        <v>53</v>
      </c>
      <c r="D10" s="10">
        <v>11506</v>
      </c>
      <c r="E10" s="11" t="str">
        <f>VLOOKUP(D:D,'[1]Production Plan '!$B$7:$C$426,2,0)</f>
        <v>2 Inch Dia UPVC Thread Pipe</v>
      </c>
      <c r="F10" s="12" t="str">
        <f>VLOOKUP(D10,'[2]Production Plan '!$B$7:$G$398,6,0)</f>
        <v>Green</v>
      </c>
      <c r="G10" s="13">
        <v>360</v>
      </c>
      <c r="H10" s="14">
        <f>VLOOKUP(D:D,'[1]Production Plan '!$B:$F,5,0)</f>
        <v>3.9</v>
      </c>
      <c r="I10" s="39">
        <v>80</v>
      </c>
      <c r="J10" s="41">
        <f>I10/(K10+K11)</f>
        <v>5.3908355795148251E-2</v>
      </c>
      <c r="K10" s="9">
        <f t="shared" si="0"/>
        <v>1484</v>
      </c>
      <c r="L10" s="15" t="str">
        <f>VLOOKUP(D:D,[3]Sheet1!$A:$G,7,0)</f>
        <v>Thread-Green</v>
      </c>
      <c r="M10" s="45"/>
      <c r="N10" s="35">
        <v>10</v>
      </c>
      <c r="O10" s="35">
        <f t="shared" si="1"/>
        <v>2</v>
      </c>
      <c r="P10" s="37" t="s">
        <v>48</v>
      </c>
    </row>
    <row r="11" spans="1:16" ht="15.75" x14ac:dyDescent="0.25">
      <c r="A11" s="8">
        <v>6</v>
      </c>
      <c r="B11" s="9" t="s">
        <v>25</v>
      </c>
      <c r="C11" s="19" t="s">
        <v>21</v>
      </c>
      <c r="D11" s="10">
        <v>11505</v>
      </c>
      <c r="E11" s="11" t="str">
        <f>VLOOKUP(D:D,'[1]Production Plan '!$B$7:$C$426,2,0)</f>
        <v>1.5 Inch Dia UPVC Thread Pipe</v>
      </c>
      <c r="F11" s="12" t="str">
        <f>VLOOKUP(D11,'[2]Production Plan '!$B$7:$G$398,6,0)</f>
        <v>Green</v>
      </c>
      <c r="G11" s="13">
        <v>0</v>
      </c>
      <c r="H11" s="14">
        <f>VLOOKUP(D:D,'[1]Production Plan '!$B:$F,5,0)</f>
        <v>2.9</v>
      </c>
      <c r="I11" s="40"/>
      <c r="J11" s="42"/>
      <c r="K11" s="9">
        <f t="shared" si="0"/>
        <v>0</v>
      </c>
      <c r="L11" s="15" t="str">
        <f>VLOOKUP(D:D,[3]Sheet1!$A:$G,7,0)</f>
        <v>Thread-Green</v>
      </c>
      <c r="M11" s="45"/>
      <c r="N11" s="36"/>
      <c r="O11" s="36"/>
      <c r="P11" s="38"/>
    </row>
    <row r="12" spans="1:16" ht="15.75" x14ac:dyDescent="0.25">
      <c r="A12" s="8">
        <v>7</v>
      </c>
      <c r="B12" s="22" t="s">
        <v>26</v>
      </c>
      <c r="C12" s="9" t="s">
        <v>57</v>
      </c>
      <c r="D12" s="10">
        <v>11108</v>
      </c>
      <c r="E12" s="11" t="str">
        <f>VLOOKUP(D:D,'[1]Production Plan '!$B$7:$C$426,2,0)</f>
        <v>1.5 Inch Dia UPVC Pipe Class-Economy</v>
      </c>
      <c r="F12" s="12" t="str">
        <f>VLOOKUP(D12,'[2]Production Plan '!$B$7:$G$398,6,0)</f>
        <v>White</v>
      </c>
      <c r="G12" s="13">
        <v>500</v>
      </c>
      <c r="H12" s="14">
        <f>VLOOKUP(D:D,'[1]Production Plan '!$B:$F,5,0)</f>
        <v>1.8</v>
      </c>
      <c r="I12" s="27">
        <v>55</v>
      </c>
      <c r="J12" s="16">
        <f t="shared" si="2"/>
        <v>5.7591623036649213E-2</v>
      </c>
      <c r="K12" s="9">
        <f t="shared" si="0"/>
        <v>955</v>
      </c>
      <c r="L12" s="15" t="str">
        <f>VLOOKUP(D:D,[3]Sheet1!$A:$G,7,0)</f>
        <v>Economy- White</v>
      </c>
      <c r="M12" s="45"/>
      <c r="N12" s="25">
        <v>12</v>
      </c>
      <c r="O12" s="25">
        <f t="shared" si="1"/>
        <v>0</v>
      </c>
      <c r="P12" s="23"/>
    </row>
    <row r="13" spans="1:16" ht="15.75" x14ac:dyDescent="0.25">
      <c r="A13" s="8">
        <v>8</v>
      </c>
      <c r="B13" s="22" t="s">
        <v>28</v>
      </c>
      <c r="C13" s="20" t="s">
        <v>21</v>
      </c>
      <c r="D13" s="10">
        <v>11302</v>
      </c>
      <c r="E13" s="11" t="str">
        <f>VLOOKUP(D:D,'[1]Production Plan '!$B$7:$C$426,2,0)</f>
        <v>40 mm Dia UPVC Pipe Class ISO</v>
      </c>
      <c r="F13" s="12" t="str">
        <f>VLOOKUP(D13,'[2]Production Plan '!$B$7:$G$398,6,0)</f>
        <v>White</v>
      </c>
      <c r="G13" s="34">
        <v>590</v>
      </c>
      <c r="H13" s="14">
        <f>VLOOKUP(D:D,'[1]Production Plan '!$B:$F,5,0)</f>
        <v>1.3</v>
      </c>
      <c r="I13" s="13">
        <v>35</v>
      </c>
      <c r="J13" s="16">
        <f t="shared" si="2"/>
        <v>4.3640897755610975E-2</v>
      </c>
      <c r="K13" s="9">
        <f t="shared" si="0"/>
        <v>802</v>
      </c>
      <c r="L13" s="15" t="str">
        <f>VLOOKUP(D:D,[3]Sheet1!$A:$G,7,0)</f>
        <v>SWR-White</v>
      </c>
      <c r="M13" s="45"/>
      <c r="N13" s="17">
        <v>12</v>
      </c>
      <c r="O13" s="17">
        <f t="shared" si="1"/>
        <v>0</v>
      </c>
      <c r="P13" s="18"/>
    </row>
    <row r="14" spans="1:16" ht="78.75" x14ac:dyDescent="0.25">
      <c r="A14" s="8">
        <v>9</v>
      </c>
      <c r="B14" s="9" t="s">
        <v>30</v>
      </c>
      <c r="C14" s="9" t="s">
        <v>45</v>
      </c>
      <c r="D14" s="10">
        <v>11309</v>
      </c>
      <c r="E14" s="11" t="str">
        <f>VLOOKUP(D:D,'[1]Production Plan '!$B$7:$C$426,2,0)</f>
        <v>110mm Dia UPVC Pipe ISO-2</v>
      </c>
      <c r="F14" s="12" t="str">
        <f>VLOOKUP(D14,'[2]Production Plan '!$B$7:$G$398,6,0)</f>
        <v>White</v>
      </c>
      <c r="G14" s="13">
        <v>162</v>
      </c>
      <c r="H14" s="14">
        <f>VLOOKUP(D:D,'[1]Production Plan '!$B:$F,5,0)</f>
        <v>11</v>
      </c>
      <c r="I14" s="27">
        <v>82</v>
      </c>
      <c r="J14" s="29">
        <f t="shared" si="2"/>
        <v>4.3991416309012876E-2</v>
      </c>
      <c r="K14" s="9">
        <f t="shared" si="0"/>
        <v>1864</v>
      </c>
      <c r="L14" s="15" t="str">
        <f>VLOOKUP(D:D,[3]Sheet1!$A:$G,7,0)</f>
        <v>SWR-White</v>
      </c>
      <c r="M14" s="45"/>
      <c r="N14" s="25">
        <v>9</v>
      </c>
      <c r="O14" s="25">
        <f t="shared" si="1"/>
        <v>3</v>
      </c>
      <c r="P14" s="30" t="s">
        <v>60</v>
      </c>
    </row>
    <row r="15" spans="1:16" ht="31.5" x14ac:dyDescent="0.25">
      <c r="A15" s="8">
        <v>10</v>
      </c>
      <c r="B15" s="9" t="s">
        <v>32</v>
      </c>
      <c r="C15" s="9"/>
      <c r="D15" s="10">
        <v>11335</v>
      </c>
      <c r="E15" s="11" t="str">
        <f>VLOOKUP(D:D,'[1]Production Plan '!$B$7:$C$426,2,0)</f>
        <v>160mm Dia Upvc PN-8 Pipe</v>
      </c>
      <c r="F15" s="12" t="str">
        <f>VLOOKUP(D15,'[2]Production Plan '!$B$7:$G$398,6,0)</f>
        <v>White</v>
      </c>
      <c r="G15" s="13">
        <v>0</v>
      </c>
      <c r="H15" s="14">
        <f>VLOOKUP(D:D,'[1]Production Plan '!$B:$F,5,0)</f>
        <v>26.6</v>
      </c>
      <c r="I15" s="13">
        <v>0</v>
      </c>
      <c r="J15" s="16" t="e">
        <f t="shared" si="2"/>
        <v>#DIV/0!</v>
      </c>
      <c r="K15" s="9">
        <f t="shared" si="0"/>
        <v>0</v>
      </c>
      <c r="L15" s="15" t="str">
        <f>VLOOKUP(D:D,[3]Sheet1!$A:$G,7,0)</f>
        <v>STD-White</v>
      </c>
      <c r="M15" s="45"/>
      <c r="N15" s="17">
        <v>0</v>
      </c>
      <c r="O15" s="17">
        <f t="shared" si="1"/>
        <v>12</v>
      </c>
      <c r="P15" s="18" t="s">
        <v>52</v>
      </c>
    </row>
    <row r="16" spans="1:16" ht="31.5" x14ac:dyDescent="0.25">
      <c r="A16" s="8">
        <v>11</v>
      </c>
      <c r="B16" s="9" t="s">
        <v>33</v>
      </c>
      <c r="C16" s="20" t="s">
        <v>45</v>
      </c>
      <c r="D16" s="10">
        <v>11325</v>
      </c>
      <c r="E16" s="11" t="str">
        <f>VLOOKUP(D:D,'[1]Production Plan '!$B$7:$C$426,2,0)</f>
        <v>110 mm Dia UPVC Pipe SWR-3</v>
      </c>
      <c r="F16" s="12" t="str">
        <f>VLOOKUP(D16,'[2]Production Plan '!$B$7:$G$398,6,0)</f>
        <v>White</v>
      </c>
      <c r="G16" s="13">
        <v>0</v>
      </c>
      <c r="H16" s="14">
        <f>VLOOKUP(D:D,'[1]Production Plan '!$B:$F,5,0)</f>
        <v>12.9</v>
      </c>
      <c r="I16" s="13">
        <v>452</v>
      </c>
      <c r="J16" s="16">
        <f t="shared" si="2"/>
        <v>1</v>
      </c>
      <c r="K16" s="9">
        <f t="shared" si="0"/>
        <v>452</v>
      </c>
      <c r="L16" s="15" t="str">
        <f>VLOOKUP(D:D,[3]Sheet1!$A:$G,7,0)</f>
        <v>SWR-White</v>
      </c>
      <c r="M16" s="45"/>
      <c r="N16" s="17">
        <v>1</v>
      </c>
      <c r="O16" s="17">
        <f t="shared" si="1"/>
        <v>11</v>
      </c>
      <c r="P16" s="18" t="s">
        <v>61</v>
      </c>
    </row>
    <row r="17" spans="1:16" ht="31.5" x14ac:dyDescent="0.25">
      <c r="A17" s="8">
        <v>12</v>
      </c>
      <c r="B17" s="9" t="s">
        <v>34</v>
      </c>
      <c r="C17" s="20" t="s">
        <v>53</v>
      </c>
      <c r="D17" s="10">
        <v>11502</v>
      </c>
      <c r="E17" s="11" t="str">
        <f>VLOOKUP(D:D,'[1]Production Plan '!$B$7:$C$426,2,0)</f>
        <v>0.75 Inch Dia UPVC Thread Pipe</v>
      </c>
      <c r="F17" s="12" t="str">
        <f>VLOOKUP(D17,'[2]Production Plan '!$B$7:$G$398,6,0)</f>
        <v>Green</v>
      </c>
      <c r="G17" s="13">
        <v>340</v>
      </c>
      <c r="H17" s="14">
        <f>VLOOKUP(D:D,'[1]Production Plan '!$B:$F,5,0)</f>
        <v>1.24</v>
      </c>
      <c r="I17" s="13">
        <v>80</v>
      </c>
      <c r="J17" s="16">
        <f t="shared" si="2"/>
        <v>0.15948963317384368</v>
      </c>
      <c r="K17" s="9">
        <f t="shared" si="0"/>
        <v>501.6</v>
      </c>
      <c r="L17" s="15" t="str">
        <f>VLOOKUP(D:D,[3]Sheet1!$A:$G,7,0)</f>
        <v>Thread-Green</v>
      </c>
      <c r="M17" s="45"/>
      <c r="N17" s="17">
        <v>7</v>
      </c>
      <c r="O17" s="17">
        <f t="shared" si="1"/>
        <v>5</v>
      </c>
      <c r="P17" s="18" t="s">
        <v>48</v>
      </c>
    </row>
    <row r="18" spans="1:16" ht="15.75" x14ac:dyDescent="0.25">
      <c r="A18" s="8">
        <v>13</v>
      </c>
      <c r="B18" s="9" t="s">
        <v>35</v>
      </c>
      <c r="C18" s="9" t="s">
        <v>62</v>
      </c>
      <c r="D18" s="10">
        <v>11391</v>
      </c>
      <c r="E18" s="11" t="str">
        <f>VLOOKUP(D:D,'[1]Production Plan '!$B$7:$C$426,2,0)</f>
        <v>4 Inch Dia UPVC Pipe Class-D SPL</v>
      </c>
      <c r="F18" s="12" t="str">
        <f>VLOOKUP(D18,'[2]Production Plan '!$B$7:$G$398,6,0)</f>
        <v>Grey</v>
      </c>
      <c r="G18" s="13">
        <v>170</v>
      </c>
      <c r="H18" s="14">
        <f>VLOOKUP(D:D,'[1]Production Plan '!$B:$F,5,0)</f>
        <v>20</v>
      </c>
      <c r="I18" s="39">
        <v>20</v>
      </c>
      <c r="J18" s="41">
        <f>I18/(K18+K19)</f>
        <v>5.8479532163742687E-3</v>
      </c>
      <c r="K18" s="9">
        <f t="shared" si="0"/>
        <v>3420</v>
      </c>
      <c r="L18" s="15" t="str">
        <f>VLOOKUP(D:D,[3]Sheet1!$A:$G,7,0)</f>
        <v>Three Layer</v>
      </c>
      <c r="M18" s="45"/>
      <c r="N18" s="35">
        <v>12</v>
      </c>
      <c r="O18" s="35">
        <f t="shared" si="1"/>
        <v>0</v>
      </c>
      <c r="P18" s="37"/>
    </row>
    <row r="19" spans="1:16" ht="15.75" x14ac:dyDescent="0.25">
      <c r="A19" s="8">
        <v>14</v>
      </c>
      <c r="B19" s="9" t="s">
        <v>35</v>
      </c>
      <c r="C19" s="9" t="s">
        <v>21</v>
      </c>
      <c r="D19" s="10">
        <v>11399</v>
      </c>
      <c r="E19" s="11" t="str">
        <f>VLOOKUP(D:D,'[1]Production Plan '!$B$7:$C$426,2,0)</f>
        <v>4 Inch Dia Upvc Pipe Class -D SPL Filter</v>
      </c>
      <c r="F19" s="12" t="str">
        <f>VLOOKUP(D19,'[2]Production Plan '!$B$7:$G$398,6,0)</f>
        <v>Grey</v>
      </c>
      <c r="G19" s="13">
        <v>0</v>
      </c>
      <c r="H19" s="14">
        <f>VLOOKUP(D:D,'[1]Production Plan '!$B:$F,5,0)</f>
        <v>10</v>
      </c>
      <c r="I19" s="40"/>
      <c r="J19" s="42"/>
      <c r="K19" s="9">
        <f t="shared" si="0"/>
        <v>0</v>
      </c>
      <c r="L19" s="15" t="str">
        <f>VLOOKUP(D:D,[3]Sheet1!$A:$G,7,0)</f>
        <v xml:space="preserve">Three Layer </v>
      </c>
      <c r="M19" s="45"/>
      <c r="N19" s="36"/>
      <c r="O19" s="36"/>
      <c r="P19" s="38"/>
    </row>
    <row r="20" spans="1:16" ht="15.75" x14ac:dyDescent="0.25">
      <c r="A20" s="8">
        <v>15</v>
      </c>
      <c r="B20" s="9" t="s">
        <v>36</v>
      </c>
      <c r="C20" s="9" t="s">
        <v>31</v>
      </c>
      <c r="D20" s="10">
        <v>11358</v>
      </c>
      <c r="E20" s="11" t="str">
        <f>VLOOKUP(D:D,'[1]Production Plan '!$B$7:$C$426,2,0)</f>
        <v>160 mm Dia Upvc Pipe SWR-SP</v>
      </c>
      <c r="F20" s="12" t="str">
        <f>VLOOKUP(D20,'[2]Production Plan '!$B$7:$G$398,6,0)</f>
        <v>Grey</v>
      </c>
      <c r="G20" s="13">
        <v>93</v>
      </c>
      <c r="H20" s="14">
        <f>VLOOKUP(D:D,'[1]Production Plan '!$B:$F,5,0)</f>
        <v>16</v>
      </c>
      <c r="I20" s="39">
        <v>88</v>
      </c>
      <c r="J20" s="41">
        <f>I20/(K20+K21)</f>
        <v>5.4941624523943307E-2</v>
      </c>
      <c r="K20" s="9">
        <f t="shared" si="0"/>
        <v>1576</v>
      </c>
      <c r="L20" s="15" t="str">
        <f>VLOOKUP(D:D,[3]Sheet1!$A:$G,7,0)</f>
        <v>SWR-Grey</v>
      </c>
      <c r="M20" s="45"/>
      <c r="N20" s="35">
        <v>9</v>
      </c>
      <c r="O20" s="35">
        <f t="shared" si="1"/>
        <v>3</v>
      </c>
      <c r="P20" s="37" t="s">
        <v>55</v>
      </c>
    </row>
    <row r="21" spans="1:16" ht="15.75" x14ac:dyDescent="0.25">
      <c r="A21" s="8">
        <v>16</v>
      </c>
      <c r="B21" s="9" t="s">
        <v>36</v>
      </c>
      <c r="C21" s="9" t="s">
        <v>21</v>
      </c>
      <c r="D21" s="10">
        <v>11336</v>
      </c>
      <c r="E21" s="11" t="str">
        <f>VLOOKUP(D:D,'[1]Production Plan '!$B$7:$C$426,2,0)</f>
        <v>160mm Dia UPVC Pipe ISO (R) (Thickness 4.5-4.6 6mm)</v>
      </c>
      <c r="F21" s="12" t="str">
        <f>VLOOKUP(D21,'[2]Production Plan '!$B$7:$G$398,6,0)</f>
        <v>White</v>
      </c>
      <c r="G21" s="13">
        <v>1</v>
      </c>
      <c r="H21" s="14">
        <f>VLOOKUP(D:D,'[1]Production Plan '!$B:$F,5,0)</f>
        <v>25.7</v>
      </c>
      <c r="I21" s="40"/>
      <c r="J21" s="42"/>
      <c r="K21" s="9">
        <f t="shared" si="0"/>
        <v>25.7</v>
      </c>
      <c r="L21" s="15" t="str">
        <f>VLOOKUP(D:D,[3]Sheet1!$A:$G,7,0)</f>
        <v>SWR-White</v>
      </c>
      <c r="M21" s="45"/>
      <c r="N21" s="36"/>
      <c r="O21" s="36"/>
      <c r="P21" s="38"/>
    </row>
    <row r="22" spans="1:16" ht="15.75" x14ac:dyDescent="0.25">
      <c r="A22" s="8">
        <v>17</v>
      </c>
      <c r="B22" s="9" t="s">
        <v>38</v>
      </c>
      <c r="C22" s="9" t="s">
        <v>21</v>
      </c>
      <c r="D22" s="10">
        <v>12934</v>
      </c>
      <c r="E22" s="11" t="str">
        <f>VLOOKUP(D:D,'[1]Production Plan '!$B$7:$C$426,2,0)</f>
        <v>110 mm Dia Upvc Pipe SWR-3 SPL</v>
      </c>
      <c r="F22" s="12" t="str">
        <f>VLOOKUP(D22,'[2]Production Plan '!$B$7:$G$398,6,0)</f>
        <v>White</v>
      </c>
      <c r="G22" s="13">
        <v>179</v>
      </c>
      <c r="H22" s="14">
        <f>VLOOKUP(D:D,'[1]Production Plan '!$B:$F,5,0)</f>
        <v>12.7</v>
      </c>
      <c r="I22" s="27">
        <v>73</v>
      </c>
      <c r="J22" s="29">
        <f t="shared" ref="J22:J29" si="3">I22/(K22)</f>
        <v>3.1112815922942509E-2</v>
      </c>
      <c r="K22" s="9">
        <f t="shared" si="0"/>
        <v>2346.2999999999997</v>
      </c>
      <c r="L22" s="15" t="str">
        <f>VLOOKUP(D:D,[3]Sheet1!$A:$G,7,0)</f>
        <v>SWR-White</v>
      </c>
      <c r="M22" s="45"/>
      <c r="N22" s="25">
        <v>12</v>
      </c>
      <c r="O22" s="25">
        <f t="shared" si="1"/>
        <v>0</v>
      </c>
      <c r="P22" s="24"/>
    </row>
    <row r="23" spans="1:16" ht="15.75" x14ac:dyDescent="0.25">
      <c r="A23" s="8">
        <v>18</v>
      </c>
      <c r="B23" s="9" t="s">
        <v>39</v>
      </c>
      <c r="C23" s="9" t="s">
        <v>37</v>
      </c>
      <c r="D23" s="10">
        <v>11130</v>
      </c>
      <c r="E23" s="11" t="str">
        <f>VLOOKUP(D:D,'[1]Production Plan '!$B$7:$C$426,2,0)</f>
        <v>2 Inch Dia UPVC Pipe Class D</v>
      </c>
      <c r="F23" s="12" t="str">
        <f>VLOOKUP(D23,'[2]Production Plan '!$B$7:$G$398,6,0)</f>
        <v>Grey</v>
      </c>
      <c r="G23" s="13">
        <v>250</v>
      </c>
      <c r="H23" s="14">
        <f>VLOOKUP(D:D,'[1]Production Plan '!$B:$F,5,0)</f>
        <v>4.0999999999999996</v>
      </c>
      <c r="I23" s="39">
        <v>149</v>
      </c>
      <c r="J23" s="41">
        <f>I23/(K23+K24)</f>
        <v>8.4671118056542122E-2</v>
      </c>
      <c r="K23" s="9">
        <f t="shared" si="0"/>
        <v>1174</v>
      </c>
      <c r="L23" s="15" t="str">
        <f>VLOOKUP(D:D,[3]Sheet1!$A:$G,7,0)</f>
        <v>SBS-Grey</v>
      </c>
      <c r="M23" s="45"/>
      <c r="N23" s="35">
        <v>12</v>
      </c>
      <c r="O23" s="35">
        <f t="shared" si="1"/>
        <v>0</v>
      </c>
      <c r="P23" s="37"/>
    </row>
    <row r="24" spans="1:16" ht="15.75" x14ac:dyDescent="0.25">
      <c r="A24" s="8">
        <v>19</v>
      </c>
      <c r="B24" s="9" t="s">
        <v>39</v>
      </c>
      <c r="C24" s="9" t="s">
        <v>37</v>
      </c>
      <c r="D24" s="10">
        <v>11733</v>
      </c>
      <c r="E24" s="11" t="str">
        <f>VLOOKUP(D:D,'[1]Production Plan '!$B$7:$C$426,2,0)</f>
        <v>2 Inch Dia UPVC Filter Class E</v>
      </c>
      <c r="F24" s="12" t="str">
        <f>VLOOKUP(D24,'[2]Production Plan '!$B$7:$G$398,6,0)</f>
        <v>Grey</v>
      </c>
      <c r="G24" s="13">
        <v>165</v>
      </c>
      <c r="H24" s="14">
        <f>VLOOKUP(D:D,'[1]Production Plan '!$B:$F,5,0)</f>
        <v>3.55</v>
      </c>
      <c r="I24" s="40"/>
      <c r="J24" s="42"/>
      <c r="K24" s="9">
        <f t="shared" si="0"/>
        <v>585.75</v>
      </c>
      <c r="L24" s="15" t="str">
        <f>VLOOKUP(D:D,[3]Sheet1!$A:$G,7,0)</f>
        <v>SBS-Grey</v>
      </c>
      <c r="M24" s="45"/>
      <c r="N24" s="36"/>
      <c r="O24" s="36"/>
      <c r="P24" s="38"/>
    </row>
    <row r="25" spans="1:16" ht="31.5" x14ac:dyDescent="0.25">
      <c r="A25" s="8">
        <v>20</v>
      </c>
      <c r="B25" s="9" t="s">
        <v>40</v>
      </c>
      <c r="C25" s="9"/>
      <c r="D25" s="10">
        <v>13397</v>
      </c>
      <c r="E25" s="11" t="str">
        <f>VLOOKUP(D:D,'[1]Production Plan '!$B$7:$C$426,2,0)</f>
        <v>1.5 Inch Dia Upvc Pipe Class D-SP (Br)</v>
      </c>
      <c r="F25" s="12" t="str">
        <f>VLOOKUP(D25,'[2]Production Plan '!$B$7:$G$398,6,0)</f>
        <v>Grey</v>
      </c>
      <c r="G25" s="13">
        <v>40</v>
      </c>
      <c r="H25" s="14">
        <f>VLOOKUP(D:D,'[1]Production Plan '!$B:$F,5,0)</f>
        <v>2.85</v>
      </c>
      <c r="I25" s="13">
        <v>0</v>
      </c>
      <c r="J25" s="16">
        <f t="shared" si="3"/>
        <v>0</v>
      </c>
      <c r="K25" s="9">
        <f t="shared" si="0"/>
        <v>114</v>
      </c>
      <c r="L25" s="15" t="str">
        <f>VLOOKUP(D:D,[3]Sheet1!$A:$G,7,0)</f>
        <v>STD-Grey</v>
      </c>
      <c r="M25" s="45"/>
      <c r="N25" s="17">
        <v>0</v>
      </c>
      <c r="O25" s="17">
        <f t="shared" si="1"/>
        <v>12</v>
      </c>
      <c r="P25" s="18" t="s">
        <v>52</v>
      </c>
    </row>
    <row r="26" spans="1:16" ht="94.5" x14ac:dyDescent="0.25">
      <c r="A26" s="8">
        <v>21</v>
      </c>
      <c r="B26" s="9" t="s">
        <v>41</v>
      </c>
      <c r="C26" s="9" t="s">
        <v>58</v>
      </c>
      <c r="D26" s="10">
        <v>11503</v>
      </c>
      <c r="E26" s="11" t="str">
        <f>VLOOKUP(D:D,'[1]Production Plan '!$B$7:$C$426,2,0)</f>
        <v>1 Inch Dia UPVC Thread Pipe</v>
      </c>
      <c r="F26" s="12" t="str">
        <f>VLOOKUP(D26,'[2]Production Plan '!$B$7:$G$398,6,0)</f>
        <v>Green</v>
      </c>
      <c r="G26" s="13">
        <v>200</v>
      </c>
      <c r="H26" s="14">
        <f>VLOOKUP(D:D,'[1]Production Plan '!$B:$F,5,0)</f>
        <v>1.65</v>
      </c>
      <c r="I26" s="13">
        <v>0</v>
      </c>
      <c r="J26" s="16">
        <f t="shared" si="3"/>
        <v>0</v>
      </c>
      <c r="K26" s="9">
        <f t="shared" si="0"/>
        <v>330</v>
      </c>
      <c r="L26" s="15" t="str">
        <f>VLOOKUP(D:D,[3]Sheet1!$A:$G,7,0)</f>
        <v>Thread-Green</v>
      </c>
      <c r="M26" s="45"/>
      <c r="N26" s="17">
        <v>4</v>
      </c>
      <c r="O26" s="17">
        <f t="shared" si="1"/>
        <v>8</v>
      </c>
      <c r="P26" s="18" t="s">
        <v>63</v>
      </c>
    </row>
    <row r="27" spans="1:16" ht="15.75" x14ac:dyDescent="0.25">
      <c r="A27" s="8">
        <v>22</v>
      </c>
      <c r="B27" s="9" t="s">
        <v>42</v>
      </c>
      <c r="C27" s="9" t="s">
        <v>46</v>
      </c>
      <c r="D27" s="10">
        <v>12570</v>
      </c>
      <c r="E27" s="11" t="str">
        <f>VLOOKUP(D:D,'[1]Production Plan '!$B$7:$C$426,2,0)</f>
        <v>1 Inc HDPE Coil Pipe-Green</v>
      </c>
      <c r="F27" s="12" t="str">
        <f>VLOOKUP(D27,'[2]Production Plan '!$B$7:$G$398,6,0)</f>
        <v>Green</v>
      </c>
      <c r="G27" s="13">
        <v>26</v>
      </c>
      <c r="H27" s="14">
        <f>VLOOKUP(D:D,'[1]Production Plan '!$B:$F,5,0)</f>
        <v>35</v>
      </c>
      <c r="I27" s="13">
        <v>20</v>
      </c>
      <c r="J27" s="16">
        <f t="shared" si="3"/>
        <v>2.1505376344086023E-2</v>
      </c>
      <c r="K27" s="9">
        <f t="shared" si="0"/>
        <v>930</v>
      </c>
      <c r="L27" s="15" t="str">
        <f>VLOOKUP(D:D,[3]Sheet1!$A:$G,7,0)</f>
        <v>HDPE D/L Green</v>
      </c>
      <c r="M27" s="45"/>
      <c r="N27" s="17">
        <v>12</v>
      </c>
      <c r="O27" s="17">
        <f t="shared" si="1"/>
        <v>0</v>
      </c>
      <c r="P27" s="18"/>
    </row>
    <row r="28" spans="1:16" ht="47.25" x14ac:dyDescent="0.25">
      <c r="A28" s="8">
        <v>23</v>
      </c>
      <c r="B28" s="9" t="s">
        <v>43</v>
      </c>
      <c r="C28" s="9" t="s">
        <v>54</v>
      </c>
      <c r="D28" s="10">
        <v>11317</v>
      </c>
      <c r="E28" s="11" t="str">
        <f>VLOOKUP(D:D,'[1]Production Plan '!$B$7:$C$426,2,0)</f>
        <v>110mm Dia Upvc Pipe SWR-1 Special (White)</v>
      </c>
      <c r="F28" s="12" t="str">
        <f>VLOOKUP(D28,'[2]Production Plan '!$B$7:$G$398,6,0)</f>
        <v>White</v>
      </c>
      <c r="G28" s="13">
        <v>485</v>
      </c>
      <c r="H28" s="14">
        <f>VLOOKUP(D:D,'[1]Production Plan '!$B:$F,5,0)</f>
        <v>10</v>
      </c>
      <c r="I28" s="13">
        <v>286</v>
      </c>
      <c r="J28" s="16">
        <f t="shared" si="3"/>
        <v>5.5685358255451713E-2</v>
      </c>
      <c r="K28" s="9">
        <f t="shared" si="0"/>
        <v>5136</v>
      </c>
      <c r="L28" s="15" t="str">
        <f>VLOOKUP(D:D,[3]Sheet1!$A:$G,7,0)</f>
        <v>SWR-White</v>
      </c>
      <c r="M28" s="45"/>
      <c r="N28" s="17">
        <v>11.5</v>
      </c>
      <c r="O28" s="17">
        <f t="shared" si="1"/>
        <v>0.5</v>
      </c>
      <c r="P28" s="18" t="s">
        <v>64</v>
      </c>
    </row>
    <row r="29" spans="1:16" ht="15.75" x14ac:dyDescent="0.25">
      <c r="A29" s="8">
        <v>24</v>
      </c>
      <c r="B29" s="9" t="s">
        <v>44</v>
      </c>
      <c r="C29" s="9" t="s">
        <v>46</v>
      </c>
      <c r="D29" s="10">
        <v>13388</v>
      </c>
      <c r="E29" s="11" t="str">
        <f>VLOOKUP(D:D,'[1]Production Plan '!$B$7:$C$426,2,0)</f>
        <v>CPVC Pipe 1''(25mm)X3M-SDR-13.5</v>
      </c>
      <c r="F29" s="12" t="str">
        <f>VLOOKUP(D29,'[2]Production Plan '!$B$7:$G$398,6,0)</f>
        <v>Off White</v>
      </c>
      <c r="G29" s="13">
        <v>860</v>
      </c>
      <c r="H29" s="14">
        <f>VLOOKUP(D:D,'[1]Production Plan '!$B:$F,5,0)</f>
        <v>0.9</v>
      </c>
      <c r="I29" s="27">
        <v>15</v>
      </c>
      <c r="J29" s="16">
        <f t="shared" si="3"/>
        <v>1.9011406844106463E-2</v>
      </c>
      <c r="K29" s="9">
        <f t="shared" si="0"/>
        <v>789</v>
      </c>
      <c r="L29" s="15" t="str">
        <f>VLOOKUP(D:D,[3]Sheet1!$A:$G,7,0)</f>
        <v>Com..</v>
      </c>
      <c r="M29" s="45"/>
      <c r="N29" s="25">
        <v>12</v>
      </c>
      <c r="O29" s="25">
        <f>12-N29</f>
        <v>0</v>
      </c>
      <c r="P29" s="30"/>
    </row>
    <row r="30" spans="1:16" ht="15.75" x14ac:dyDescent="0.25">
      <c r="A30" s="8"/>
      <c r="B30" s="9"/>
      <c r="C30" s="9"/>
      <c r="D30" s="9"/>
      <c r="E30" s="11"/>
      <c r="F30" s="12"/>
      <c r="G30" s="7"/>
      <c r="H30" s="14"/>
      <c r="I30" s="21">
        <f>SUM(I6:I29)</f>
        <v>1619</v>
      </c>
      <c r="J30" s="21"/>
      <c r="K30" s="21">
        <f>SUM(K6:K29)</f>
        <v>25607.75</v>
      </c>
      <c r="L30" s="15"/>
      <c r="M30" s="45"/>
      <c r="N30" s="17"/>
      <c r="O30" s="17"/>
      <c r="P30" s="9"/>
    </row>
  </sheetData>
  <mergeCells count="29">
    <mergeCell ref="N23:N24"/>
    <mergeCell ref="O23:O24"/>
    <mergeCell ref="P23:P24"/>
    <mergeCell ref="N18:N19"/>
    <mergeCell ref="O18:O19"/>
    <mergeCell ref="P18:P19"/>
    <mergeCell ref="I20:I21"/>
    <mergeCell ref="J20:J21"/>
    <mergeCell ref="N20:N21"/>
    <mergeCell ref="O20:O21"/>
    <mergeCell ref="P20:P21"/>
    <mergeCell ref="N7:N8"/>
    <mergeCell ref="O7:O8"/>
    <mergeCell ref="P7:P8"/>
    <mergeCell ref="I10:I11"/>
    <mergeCell ref="J10:J11"/>
    <mergeCell ref="N10:N11"/>
    <mergeCell ref="O10:O11"/>
    <mergeCell ref="P10:P11"/>
    <mergeCell ref="F1:J1"/>
    <mergeCell ref="F2:J2"/>
    <mergeCell ref="F3:L3"/>
    <mergeCell ref="M6:M30"/>
    <mergeCell ref="I7:I8"/>
    <mergeCell ref="J7:J8"/>
    <mergeCell ref="I18:I19"/>
    <mergeCell ref="J18:J19"/>
    <mergeCell ref="I23:I24"/>
    <mergeCell ref="J23:J24"/>
  </mergeCells>
  <conditionalFormatting sqref="E29">
    <cfRule type="duplicateValues" dxfId="31" priority="1"/>
  </conditionalFormatting>
  <conditionalFormatting sqref="E30 E6:E28">
    <cfRule type="duplicateValues" dxfId="30" priority="2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30"/>
  <sheetViews>
    <sheetView topLeftCell="A22" workbookViewId="0">
      <selection activeCell="K31" sqref="K31"/>
    </sheetView>
  </sheetViews>
  <sheetFormatPr defaultRowHeight="15" x14ac:dyDescent="0.25"/>
  <cols>
    <col min="11" max="11" width="9.5703125" bestFit="1" customWidth="1"/>
  </cols>
  <sheetData>
    <row r="1" spans="1:16" ht="15.75" x14ac:dyDescent="0.25">
      <c r="A1" s="32"/>
      <c r="B1" s="32"/>
      <c r="C1" s="32"/>
      <c r="D1" s="32"/>
      <c r="E1" s="32"/>
      <c r="F1" s="43" t="s">
        <v>0</v>
      </c>
      <c r="G1" s="43"/>
      <c r="H1" s="43"/>
      <c r="I1" s="43"/>
      <c r="J1" s="43"/>
      <c r="K1" s="32"/>
      <c r="L1" s="32"/>
      <c r="M1" s="32"/>
      <c r="N1" s="32"/>
      <c r="O1" s="32"/>
      <c r="P1" s="32"/>
    </row>
    <row r="2" spans="1:16" ht="15.75" x14ac:dyDescent="0.25">
      <c r="A2" s="32"/>
      <c r="B2" s="1"/>
      <c r="C2" s="2"/>
      <c r="D2" s="32"/>
      <c r="E2" s="32"/>
      <c r="F2" s="43" t="s">
        <v>1</v>
      </c>
      <c r="G2" s="43"/>
      <c r="H2" s="43"/>
      <c r="I2" s="43"/>
      <c r="J2" s="43"/>
      <c r="K2" s="32"/>
      <c r="L2" s="32"/>
      <c r="M2" s="32"/>
      <c r="N2" s="3"/>
      <c r="O2" s="32"/>
      <c r="P2" s="32"/>
    </row>
    <row r="3" spans="1:16" ht="15.75" x14ac:dyDescent="0.25">
      <c r="A3" s="32"/>
      <c r="B3" s="32"/>
      <c r="C3" s="32"/>
      <c r="D3" s="32"/>
      <c r="E3" s="32"/>
      <c r="F3" s="44" t="s">
        <v>2</v>
      </c>
      <c r="G3" s="44"/>
      <c r="H3" s="44"/>
      <c r="I3" s="44"/>
      <c r="J3" s="44"/>
      <c r="K3" s="44"/>
      <c r="L3" s="44"/>
      <c r="M3" s="32"/>
      <c r="N3" s="32"/>
      <c r="O3" s="32"/>
      <c r="P3" s="32"/>
    </row>
    <row r="4" spans="1:16" ht="15.75" x14ac:dyDescent="0.25">
      <c r="A4" s="32"/>
      <c r="B4" s="32"/>
      <c r="C4" s="32"/>
      <c r="D4" s="32"/>
      <c r="E4" s="4" t="s">
        <v>65</v>
      </c>
      <c r="F4" s="32"/>
      <c r="G4" s="32"/>
      <c r="H4" s="32"/>
      <c r="I4" s="32"/>
      <c r="J4" s="32"/>
      <c r="K4" s="32"/>
      <c r="L4" s="5"/>
      <c r="M4" s="32"/>
      <c r="N4" s="32"/>
      <c r="O4" s="32"/>
      <c r="P4" s="6"/>
    </row>
    <row r="5" spans="1:16" ht="78.75" x14ac:dyDescent="0.25">
      <c r="A5" s="7" t="s">
        <v>3</v>
      </c>
      <c r="B5" s="7" t="s">
        <v>4</v>
      </c>
      <c r="C5" s="7" t="s">
        <v>5</v>
      </c>
      <c r="D5" s="7" t="s">
        <v>6</v>
      </c>
      <c r="E5" s="7" t="s">
        <v>7</v>
      </c>
      <c r="F5" s="7" t="s">
        <v>8</v>
      </c>
      <c r="G5" s="7" t="s">
        <v>9</v>
      </c>
      <c r="H5" s="7" t="s">
        <v>10</v>
      </c>
      <c r="I5" s="7" t="s">
        <v>11</v>
      </c>
      <c r="J5" s="7" t="s">
        <v>12</v>
      </c>
      <c r="K5" s="7" t="s">
        <v>13</v>
      </c>
      <c r="L5" s="7" t="s">
        <v>14</v>
      </c>
      <c r="M5" s="7" t="s">
        <v>15</v>
      </c>
      <c r="N5" s="7" t="s">
        <v>16</v>
      </c>
      <c r="O5" s="7" t="s">
        <v>17</v>
      </c>
      <c r="P5" s="7" t="s">
        <v>18</v>
      </c>
    </row>
    <row r="6" spans="1:16" ht="31.5" x14ac:dyDescent="0.25">
      <c r="A6" s="8">
        <v>1</v>
      </c>
      <c r="B6" s="9" t="s">
        <v>19</v>
      </c>
      <c r="C6" s="9"/>
      <c r="D6" s="10">
        <v>11141</v>
      </c>
      <c r="E6" s="11" t="str">
        <f>VLOOKUP(D:D,'[1]Production Plan '!$B$7:$C$426,2,0)</f>
        <v>4 Inch Upvc Pipe Star (Gray 20 Ft )</v>
      </c>
      <c r="F6" s="12" t="str">
        <f>VLOOKUP(D6,'[2]Production Plan '!$B$7:$G$398,6,0)</f>
        <v>Grey</v>
      </c>
      <c r="G6" s="13">
        <v>0</v>
      </c>
      <c r="H6" s="14">
        <f>VLOOKUP(D:D,'[1]Production Plan '!$B:$F,5,0)</f>
        <v>12.5</v>
      </c>
      <c r="I6" s="13">
        <v>0</v>
      </c>
      <c r="J6" s="16" t="e">
        <f>I6/(K6)</f>
        <v>#DIV/0!</v>
      </c>
      <c r="K6" s="9">
        <f>G6*H6+I6</f>
        <v>0</v>
      </c>
      <c r="L6" s="15" t="str">
        <f>VLOOKUP(D:D,[3]Sheet1!$A:$G,7,0)</f>
        <v>SWR-Grey</v>
      </c>
      <c r="M6" s="45">
        <f>I30/K30</f>
        <v>3.7916162776380664E-2</v>
      </c>
      <c r="N6" s="17">
        <v>0</v>
      </c>
      <c r="O6" s="17">
        <f>12-N6</f>
        <v>12</v>
      </c>
      <c r="P6" s="18" t="s">
        <v>52</v>
      </c>
    </row>
    <row r="7" spans="1:16" ht="15.75" x14ac:dyDescent="0.25">
      <c r="A7" s="8">
        <v>2</v>
      </c>
      <c r="B7" s="9" t="s">
        <v>22</v>
      </c>
      <c r="C7" s="9" t="s">
        <v>23</v>
      </c>
      <c r="D7" s="10">
        <v>11348</v>
      </c>
      <c r="E7" s="11" t="str">
        <f>VLOOKUP(D:D,'[1]Production Plan '!$B$7:$C$426,2,0)</f>
        <v>200mm Upvc SWR Pipe (PN-8)</v>
      </c>
      <c r="F7" s="12" t="str">
        <f>VLOOKUP(D7,'[2]Production Plan '!$B$7:$G$398,6,0)</f>
        <v>White</v>
      </c>
      <c r="G7" s="13">
        <v>0</v>
      </c>
      <c r="H7" s="14">
        <f>VLOOKUP(D:D,'[1]Production Plan '!$B:$F,5,0)</f>
        <v>39.200000000000003</v>
      </c>
      <c r="I7" s="46">
        <v>168</v>
      </c>
      <c r="J7" s="41">
        <f>I7/(K7+K8)</f>
        <v>3.5946593632317697E-2</v>
      </c>
      <c r="K7" s="9">
        <f t="shared" ref="K7:K29" si="0">G7*H7+I7</f>
        <v>168</v>
      </c>
      <c r="L7" s="15" t="str">
        <f>VLOOKUP(D:D,[3]Sheet1!$A:$G,7,0)</f>
        <v>STD-White</v>
      </c>
      <c r="M7" s="45"/>
      <c r="N7" s="35">
        <v>12</v>
      </c>
      <c r="O7" s="35">
        <f t="shared" ref="O7:O28" si="1">12-N7</f>
        <v>0</v>
      </c>
      <c r="P7" s="37"/>
    </row>
    <row r="8" spans="1:16" ht="15.75" x14ac:dyDescent="0.25">
      <c r="A8" s="8">
        <v>3</v>
      </c>
      <c r="B8" s="9" t="s">
        <v>22</v>
      </c>
      <c r="C8" s="9" t="s">
        <v>21</v>
      </c>
      <c r="D8" s="10">
        <v>11346</v>
      </c>
      <c r="E8" s="11" t="str">
        <f>VLOOKUP(D:D,'[1]Production Plan '!$B$7:$C$426,2,0)</f>
        <v>200 MM Dia UPVC Pipe SWR-2</v>
      </c>
      <c r="F8" s="12" t="str">
        <f>VLOOKUP(D8,'[2]Production Plan '!$B$7:$G$398,6,0)</f>
        <v>White</v>
      </c>
      <c r="G8" s="13">
        <v>128</v>
      </c>
      <c r="H8" s="14">
        <f>VLOOKUP(D:D,'[1]Production Plan '!$B:$F,5,0)</f>
        <v>35.200000000000003</v>
      </c>
      <c r="I8" s="47"/>
      <c r="J8" s="42"/>
      <c r="K8" s="9">
        <f t="shared" si="0"/>
        <v>4505.6000000000004</v>
      </c>
      <c r="L8" s="15" t="str">
        <f>VLOOKUP(D:D,[3]Sheet1!$A:$G,7,0)</f>
        <v>SWR-White</v>
      </c>
      <c r="M8" s="45"/>
      <c r="N8" s="36"/>
      <c r="O8" s="36"/>
      <c r="P8" s="38"/>
    </row>
    <row r="9" spans="1:16" ht="31.5" x14ac:dyDescent="0.25">
      <c r="A9" s="8">
        <v>4</v>
      </c>
      <c r="B9" s="9" t="s">
        <v>24</v>
      </c>
      <c r="C9" s="19"/>
      <c r="D9" s="10">
        <v>11105</v>
      </c>
      <c r="E9" s="11" t="str">
        <f>VLOOKUP(D:D,'[1]Production Plan '!$B$7:$C$426,2,0)</f>
        <v>1 Inch Dia Upvc Pipe Class-D</v>
      </c>
      <c r="F9" s="12" t="str">
        <f>VLOOKUP(D9,'[2]Production Plan '!$B$7:$G$398,6,0)</f>
        <v>Grey</v>
      </c>
      <c r="G9" s="13">
        <v>0</v>
      </c>
      <c r="H9" s="14">
        <f>VLOOKUP(D:D,'[1]Production Plan '!$B:$F,5,0)</f>
        <v>0.85</v>
      </c>
      <c r="I9" s="13">
        <v>0</v>
      </c>
      <c r="J9" s="16" t="e">
        <f t="shared" ref="J9:J17" si="2">I9/(K9)</f>
        <v>#DIV/0!</v>
      </c>
      <c r="K9" s="9">
        <f t="shared" si="0"/>
        <v>0</v>
      </c>
      <c r="L9" s="15" t="str">
        <f>VLOOKUP(D:D,[3]Sheet1!$A:$G,7,0)</f>
        <v>STD-Grey</v>
      </c>
      <c r="M9" s="45"/>
      <c r="N9" s="17">
        <v>0</v>
      </c>
      <c r="O9" s="17">
        <f t="shared" si="1"/>
        <v>12</v>
      </c>
      <c r="P9" s="18" t="s">
        <v>52</v>
      </c>
    </row>
    <row r="10" spans="1:16" ht="15.75" x14ac:dyDescent="0.25">
      <c r="A10" s="8">
        <v>5</v>
      </c>
      <c r="B10" s="9" t="s">
        <v>25</v>
      </c>
      <c r="C10" s="19" t="s">
        <v>49</v>
      </c>
      <c r="D10" s="10">
        <v>11506</v>
      </c>
      <c r="E10" s="11" t="str">
        <f>VLOOKUP(D:D,'[1]Production Plan '!$B$7:$C$426,2,0)</f>
        <v>2 Inch Dia UPVC Thread Pipe</v>
      </c>
      <c r="F10" s="12" t="str">
        <f>VLOOKUP(D10,'[2]Production Plan '!$B$7:$G$398,6,0)</f>
        <v>Green</v>
      </c>
      <c r="G10" s="13">
        <v>425</v>
      </c>
      <c r="H10" s="14">
        <f>VLOOKUP(D:D,'[1]Production Plan '!$B:$F,5,0)</f>
        <v>3.9</v>
      </c>
      <c r="I10" s="39">
        <v>31</v>
      </c>
      <c r="J10" s="41">
        <f>I10/(K10+K11)</f>
        <v>1.6907553858740116E-2</v>
      </c>
      <c r="K10" s="9">
        <f t="shared" si="0"/>
        <v>1688.5</v>
      </c>
      <c r="L10" s="15" t="str">
        <f>VLOOKUP(D:D,[3]Sheet1!$A:$G,7,0)</f>
        <v>Thread-Green</v>
      </c>
      <c r="M10" s="45"/>
      <c r="N10" s="35">
        <v>12</v>
      </c>
      <c r="O10" s="35">
        <f t="shared" si="1"/>
        <v>0</v>
      </c>
      <c r="P10" s="37"/>
    </row>
    <row r="11" spans="1:16" ht="15.75" x14ac:dyDescent="0.25">
      <c r="A11" s="8">
        <v>6</v>
      </c>
      <c r="B11" s="9" t="s">
        <v>25</v>
      </c>
      <c r="C11" s="19" t="s">
        <v>21</v>
      </c>
      <c r="D11" s="10">
        <v>11505</v>
      </c>
      <c r="E11" s="11" t="str">
        <f>VLOOKUP(D:D,'[1]Production Plan '!$B$7:$C$426,2,0)</f>
        <v>1.5 Inch Dia UPVC Thread Pipe</v>
      </c>
      <c r="F11" s="12" t="str">
        <f>VLOOKUP(D11,'[2]Production Plan '!$B$7:$G$398,6,0)</f>
        <v>Green</v>
      </c>
      <c r="G11" s="13">
        <v>50</v>
      </c>
      <c r="H11" s="14">
        <f>VLOOKUP(D:D,'[1]Production Plan '!$B:$F,5,0)</f>
        <v>2.9</v>
      </c>
      <c r="I11" s="40"/>
      <c r="J11" s="42"/>
      <c r="K11" s="9">
        <f t="shared" si="0"/>
        <v>145</v>
      </c>
      <c r="L11" s="15" t="str">
        <f>VLOOKUP(D:D,[3]Sheet1!$A:$G,7,0)</f>
        <v>Thread-Green</v>
      </c>
      <c r="M11" s="45"/>
      <c r="N11" s="36"/>
      <c r="O11" s="36"/>
      <c r="P11" s="38"/>
    </row>
    <row r="12" spans="1:16" ht="15.75" x14ac:dyDescent="0.25">
      <c r="A12" s="8">
        <v>7</v>
      </c>
      <c r="B12" s="22" t="s">
        <v>26</v>
      </c>
      <c r="C12" s="9" t="s">
        <v>29</v>
      </c>
      <c r="D12" s="10">
        <v>11108</v>
      </c>
      <c r="E12" s="11" t="str">
        <f>VLOOKUP(D:D,'[1]Production Plan '!$B$7:$C$426,2,0)</f>
        <v>1.5 Inch Dia UPVC Pipe Class-Economy</v>
      </c>
      <c r="F12" s="12" t="str">
        <f>VLOOKUP(D12,'[2]Production Plan '!$B$7:$G$398,6,0)</f>
        <v>White</v>
      </c>
      <c r="G12" s="13">
        <v>490</v>
      </c>
      <c r="H12" s="14">
        <f>VLOOKUP(D:D,'[1]Production Plan '!$B:$F,5,0)</f>
        <v>1.8</v>
      </c>
      <c r="I12" s="27">
        <v>95</v>
      </c>
      <c r="J12" s="16">
        <f t="shared" si="2"/>
        <v>9.7236438075742074E-2</v>
      </c>
      <c r="K12" s="9">
        <f t="shared" si="0"/>
        <v>977</v>
      </c>
      <c r="L12" s="15" t="str">
        <f>VLOOKUP(D:D,[3]Sheet1!$A:$G,7,0)</f>
        <v>Economy- White</v>
      </c>
      <c r="M12" s="45"/>
      <c r="N12" s="25">
        <v>12</v>
      </c>
      <c r="O12" s="25">
        <f t="shared" si="1"/>
        <v>0</v>
      </c>
      <c r="P12" s="23"/>
    </row>
    <row r="13" spans="1:16" ht="15.75" x14ac:dyDescent="0.25">
      <c r="A13" s="8">
        <v>8</v>
      </c>
      <c r="B13" s="22" t="s">
        <v>28</v>
      </c>
      <c r="C13" s="20" t="s">
        <v>21</v>
      </c>
      <c r="D13" s="10">
        <v>11302</v>
      </c>
      <c r="E13" s="11" t="str">
        <f>VLOOKUP(D:D,'[1]Production Plan '!$B$7:$C$426,2,0)</f>
        <v>40 mm Dia UPVC Pipe Class ISO</v>
      </c>
      <c r="F13" s="12" t="str">
        <f>VLOOKUP(D13,'[2]Production Plan '!$B$7:$G$398,6,0)</f>
        <v>White</v>
      </c>
      <c r="G13" s="34">
        <v>600</v>
      </c>
      <c r="H13" s="14">
        <f>VLOOKUP(D:D,'[1]Production Plan '!$B:$F,5,0)</f>
        <v>1.3</v>
      </c>
      <c r="I13" s="13">
        <v>0</v>
      </c>
      <c r="J13" s="16">
        <f t="shared" si="2"/>
        <v>0</v>
      </c>
      <c r="K13" s="9">
        <f t="shared" si="0"/>
        <v>780</v>
      </c>
      <c r="L13" s="15" t="str">
        <f>VLOOKUP(D:D,[3]Sheet1!$A:$G,7,0)</f>
        <v>SWR-White</v>
      </c>
      <c r="M13" s="45"/>
      <c r="N13" s="17">
        <v>12</v>
      </c>
      <c r="O13" s="17">
        <f t="shared" si="1"/>
        <v>0</v>
      </c>
      <c r="P13" s="18"/>
    </row>
    <row r="14" spans="1:16" ht="47.25" x14ac:dyDescent="0.25">
      <c r="A14" s="8">
        <v>9</v>
      </c>
      <c r="B14" s="9" t="s">
        <v>30</v>
      </c>
      <c r="C14" s="9" t="s">
        <v>50</v>
      </c>
      <c r="D14" s="10">
        <v>11309</v>
      </c>
      <c r="E14" s="11" t="str">
        <f>VLOOKUP(D:D,'[1]Production Plan '!$B$7:$C$426,2,0)</f>
        <v>110mm Dia UPVC Pipe ISO-2</v>
      </c>
      <c r="F14" s="12" t="str">
        <f>VLOOKUP(D14,'[2]Production Plan '!$B$7:$G$398,6,0)</f>
        <v>White</v>
      </c>
      <c r="G14" s="13">
        <v>200</v>
      </c>
      <c r="H14" s="14">
        <f>VLOOKUP(D:D,'[1]Production Plan '!$B:$F,5,0)</f>
        <v>11</v>
      </c>
      <c r="I14" s="27">
        <v>71</v>
      </c>
      <c r="J14" s="29">
        <f t="shared" si="2"/>
        <v>3.1263760457948042E-2</v>
      </c>
      <c r="K14" s="9">
        <f t="shared" si="0"/>
        <v>2271</v>
      </c>
      <c r="L14" s="15" t="str">
        <f>VLOOKUP(D:D,[3]Sheet1!$A:$G,7,0)</f>
        <v>SWR-White</v>
      </c>
      <c r="M14" s="45"/>
      <c r="N14" s="25">
        <v>10</v>
      </c>
      <c r="O14" s="25">
        <f t="shared" si="1"/>
        <v>2</v>
      </c>
      <c r="P14" s="30" t="s">
        <v>66</v>
      </c>
    </row>
    <row r="15" spans="1:16" ht="31.5" x14ac:dyDescent="0.25">
      <c r="A15" s="8">
        <v>10</v>
      </c>
      <c r="B15" s="9" t="s">
        <v>32</v>
      </c>
      <c r="C15" s="9"/>
      <c r="D15" s="10">
        <v>11335</v>
      </c>
      <c r="E15" s="11" t="str">
        <f>VLOOKUP(D:D,'[1]Production Plan '!$B$7:$C$426,2,0)</f>
        <v>160mm Dia Upvc PN-8 Pipe</v>
      </c>
      <c r="F15" s="12" t="str">
        <f>VLOOKUP(D15,'[2]Production Plan '!$B$7:$G$398,6,0)</f>
        <v>White</v>
      </c>
      <c r="G15" s="13">
        <v>0</v>
      </c>
      <c r="H15" s="14">
        <f>VLOOKUP(D:D,'[1]Production Plan '!$B:$F,5,0)</f>
        <v>26.6</v>
      </c>
      <c r="I15" s="13">
        <v>0</v>
      </c>
      <c r="J15" s="16" t="e">
        <f t="shared" si="2"/>
        <v>#DIV/0!</v>
      </c>
      <c r="K15" s="9">
        <f t="shared" si="0"/>
        <v>0</v>
      </c>
      <c r="L15" s="15" t="str">
        <f>VLOOKUP(D:D,[3]Sheet1!$A:$G,7,0)</f>
        <v>STD-White</v>
      </c>
      <c r="M15" s="45"/>
      <c r="N15" s="17">
        <v>0</v>
      </c>
      <c r="O15" s="17">
        <f t="shared" si="1"/>
        <v>12</v>
      </c>
      <c r="P15" s="18" t="s">
        <v>52</v>
      </c>
    </row>
    <row r="16" spans="1:16" ht="31.5" x14ac:dyDescent="0.25">
      <c r="A16" s="8">
        <v>11</v>
      </c>
      <c r="B16" s="9" t="s">
        <v>33</v>
      </c>
      <c r="C16" s="20"/>
      <c r="D16" s="10">
        <v>11325</v>
      </c>
      <c r="E16" s="11" t="str">
        <f>VLOOKUP(D:D,'[1]Production Plan '!$B$7:$C$426,2,0)</f>
        <v>110 mm Dia UPVC Pipe SWR-3</v>
      </c>
      <c r="F16" s="12" t="str">
        <f>VLOOKUP(D16,'[2]Production Plan '!$B$7:$G$398,6,0)</f>
        <v>White</v>
      </c>
      <c r="G16" s="13">
        <v>0</v>
      </c>
      <c r="H16" s="14">
        <f>VLOOKUP(D:D,'[1]Production Plan '!$B:$F,5,0)</f>
        <v>12.9</v>
      </c>
      <c r="I16" s="13">
        <v>0</v>
      </c>
      <c r="J16" s="16" t="e">
        <f t="shared" si="2"/>
        <v>#DIV/0!</v>
      </c>
      <c r="K16" s="9">
        <f t="shared" si="0"/>
        <v>0</v>
      </c>
      <c r="L16" s="15" t="str">
        <f>VLOOKUP(D:D,[3]Sheet1!$A:$G,7,0)</f>
        <v>SWR-White</v>
      </c>
      <c r="M16" s="45"/>
      <c r="N16" s="17">
        <v>0</v>
      </c>
      <c r="O16" s="17">
        <f t="shared" si="1"/>
        <v>12</v>
      </c>
      <c r="P16" s="18" t="s">
        <v>61</v>
      </c>
    </row>
    <row r="17" spans="1:16" ht="78.75" x14ac:dyDescent="0.25">
      <c r="A17" s="8">
        <v>12</v>
      </c>
      <c r="B17" s="9" t="s">
        <v>34</v>
      </c>
      <c r="C17" s="20" t="s">
        <v>49</v>
      </c>
      <c r="D17" s="10">
        <v>11502</v>
      </c>
      <c r="E17" s="11" t="str">
        <f>VLOOKUP(D:D,'[1]Production Plan '!$B$7:$C$426,2,0)</f>
        <v>0.75 Inch Dia UPVC Thread Pipe</v>
      </c>
      <c r="F17" s="12" t="str">
        <f>VLOOKUP(D17,'[2]Production Plan '!$B$7:$G$398,6,0)</f>
        <v>Green</v>
      </c>
      <c r="G17" s="13">
        <v>620</v>
      </c>
      <c r="H17" s="14">
        <f>VLOOKUP(D:D,'[1]Production Plan '!$B:$F,5,0)</f>
        <v>1.24</v>
      </c>
      <c r="I17" s="13">
        <v>15</v>
      </c>
      <c r="J17" s="16">
        <f t="shared" si="2"/>
        <v>1.9137535085480991E-2</v>
      </c>
      <c r="K17" s="9">
        <f t="shared" si="0"/>
        <v>783.8</v>
      </c>
      <c r="L17" s="15" t="str">
        <f>VLOOKUP(D:D,[3]Sheet1!$A:$G,7,0)</f>
        <v>Thread-Green</v>
      </c>
      <c r="M17" s="45"/>
      <c r="N17" s="17">
        <v>10</v>
      </c>
      <c r="O17" s="17">
        <f t="shared" si="1"/>
        <v>2</v>
      </c>
      <c r="P17" s="18" t="s">
        <v>67</v>
      </c>
    </row>
    <row r="18" spans="1:16" ht="15.75" x14ac:dyDescent="0.25">
      <c r="A18" s="8">
        <v>13</v>
      </c>
      <c r="B18" s="9" t="s">
        <v>35</v>
      </c>
      <c r="C18" s="9" t="s">
        <v>27</v>
      </c>
      <c r="D18" s="10">
        <v>11391</v>
      </c>
      <c r="E18" s="11" t="str">
        <f>VLOOKUP(D:D,'[1]Production Plan '!$B$7:$C$426,2,0)</f>
        <v>4 Inch Dia UPVC Pipe Class-D SPL</v>
      </c>
      <c r="F18" s="12" t="str">
        <f>VLOOKUP(D18,'[2]Production Plan '!$B$7:$G$398,6,0)</f>
        <v>Grey</v>
      </c>
      <c r="G18" s="13">
        <v>139</v>
      </c>
      <c r="H18" s="14">
        <f>VLOOKUP(D:D,'[1]Production Plan '!$B:$F,5,0)</f>
        <v>20</v>
      </c>
      <c r="I18" s="39">
        <v>31</v>
      </c>
      <c r="J18" s="41">
        <f>I18/(K18+K19)</f>
        <v>8.8293933352321281E-3</v>
      </c>
      <c r="K18" s="9">
        <f t="shared" si="0"/>
        <v>2811</v>
      </c>
      <c r="L18" s="15" t="str">
        <f>VLOOKUP(D:D,[3]Sheet1!$A:$G,7,0)</f>
        <v>Three Layer</v>
      </c>
      <c r="M18" s="45"/>
      <c r="N18" s="35">
        <v>12</v>
      </c>
      <c r="O18" s="35">
        <f t="shared" si="1"/>
        <v>0</v>
      </c>
      <c r="P18" s="37"/>
    </row>
    <row r="19" spans="1:16" ht="15.75" x14ac:dyDescent="0.25">
      <c r="A19" s="8">
        <v>14</v>
      </c>
      <c r="B19" s="9" t="s">
        <v>35</v>
      </c>
      <c r="C19" s="9" t="s">
        <v>21</v>
      </c>
      <c r="D19" s="10">
        <v>11399</v>
      </c>
      <c r="E19" s="11" t="str">
        <f>VLOOKUP(D:D,'[1]Production Plan '!$B$7:$C$426,2,0)</f>
        <v>4 Inch Dia Upvc Pipe Class -D SPL Filter</v>
      </c>
      <c r="F19" s="12" t="str">
        <f>VLOOKUP(D19,'[2]Production Plan '!$B$7:$G$398,6,0)</f>
        <v>Grey</v>
      </c>
      <c r="G19" s="13">
        <v>70</v>
      </c>
      <c r="H19" s="14">
        <f>VLOOKUP(D:D,'[1]Production Plan '!$B:$F,5,0)</f>
        <v>10</v>
      </c>
      <c r="I19" s="40"/>
      <c r="J19" s="42"/>
      <c r="K19" s="9">
        <f t="shared" si="0"/>
        <v>700</v>
      </c>
      <c r="L19" s="15" t="str">
        <f>VLOOKUP(D:D,[3]Sheet1!$A:$G,7,0)</f>
        <v xml:space="preserve">Three Layer </v>
      </c>
      <c r="M19" s="45"/>
      <c r="N19" s="36"/>
      <c r="O19" s="36"/>
      <c r="P19" s="38"/>
    </row>
    <row r="20" spans="1:16" ht="15.75" x14ac:dyDescent="0.25">
      <c r="A20" s="8">
        <v>15</v>
      </c>
      <c r="B20" s="9" t="s">
        <v>36</v>
      </c>
      <c r="C20" s="9" t="s">
        <v>20</v>
      </c>
      <c r="D20" s="10">
        <v>11358</v>
      </c>
      <c r="E20" s="11" t="str">
        <f>VLOOKUP(D:D,'[1]Production Plan '!$B$7:$C$426,2,0)</f>
        <v>160 mm Dia Upvc Pipe SWR-SP</v>
      </c>
      <c r="F20" s="12" t="str">
        <f>VLOOKUP(D20,'[2]Production Plan '!$B$7:$G$398,6,0)</f>
        <v>Grey</v>
      </c>
      <c r="G20" s="13">
        <v>0</v>
      </c>
      <c r="H20" s="14">
        <f>VLOOKUP(D:D,'[1]Production Plan '!$B:$F,5,0)</f>
        <v>16</v>
      </c>
      <c r="I20" s="39">
        <v>175</v>
      </c>
      <c r="J20" s="41">
        <f>I20/(K20+K21)</f>
        <v>7.7546860459963673E-2</v>
      </c>
      <c r="K20" s="9">
        <f t="shared" si="0"/>
        <v>175</v>
      </c>
      <c r="L20" s="15" t="str">
        <f>VLOOKUP(D:D,[3]Sheet1!$A:$G,7,0)</f>
        <v>SWR-Grey</v>
      </c>
      <c r="M20" s="45"/>
      <c r="N20" s="35">
        <v>10</v>
      </c>
      <c r="O20" s="35">
        <f t="shared" si="1"/>
        <v>2</v>
      </c>
      <c r="P20" s="37" t="s">
        <v>68</v>
      </c>
    </row>
    <row r="21" spans="1:16" ht="15.75" x14ac:dyDescent="0.25">
      <c r="A21" s="8">
        <v>16</v>
      </c>
      <c r="B21" s="9" t="s">
        <v>36</v>
      </c>
      <c r="C21" s="9" t="s">
        <v>21</v>
      </c>
      <c r="D21" s="10">
        <v>11336</v>
      </c>
      <c r="E21" s="11" t="str">
        <f>VLOOKUP(D:D,'[1]Production Plan '!$B$7:$C$426,2,0)</f>
        <v>160mm Dia UPVC Pipe ISO (R) (Thickness 4.5-4.6 6mm)</v>
      </c>
      <c r="F21" s="12" t="str">
        <f>VLOOKUP(D21,'[2]Production Plan '!$B$7:$G$398,6,0)</f>
        <v>White</v>
      </c>
      <c r="G21" s="13">
        <v>81</v>
      </c>
      <c r="H21" s="14">
        <f>VLOOKUP(D:D,'[1]Production Plan '!$B:$F,5,0)</f>
        <v>25.7</v>
      </c>
      <c r="I21" s="40"/>
      <c r="J21" s="42"/>
      <c r="K21" s="9">
        <f t="shared" si="0"/>
        <v>2081.6999999999998</v>
      </c>
      <c r="L21" s="15" t="str">
        <f>VLOOKUP(D:D,[3]Sheet1!$A:$G,7,0)</f>
        <v>SWR-White</v>
      </c>
      <c r="M21" s="45"/>
      <c r="N21" s="36"/>
      <c r="O21" s="36"/>
      <c r="P21" s="38"/>
    </row>
    <row r="22" spans="1:16" ht="15.75" x14ac:dyDescent="0.25">
      <c r="A22" s="8">
        <v>17</v>
      </c>
      <c r="B22" s="9" t="s">
        <v>38</v>
      </c>
      <c r="C22" s="9" t="s">
        <v>21</v>
      </c>
      <c r="D22" s="10">
        <v>12934</v>
      </c>
      <c r="E22" s="11" t="str">
        <f>VLOOKUP(D:D,'[1]Production Plan '!$B$7:$C$426,2,0)</f>
        <v>110 mm Dia Upvc Pipe SWR-3 SPL</v>
      </c>
      <c r="F22" s="12" t="str">
        <f>VLOOKUP(D22,'[2]Production Plan '!$B$7:$G$398,6,0)</f>
        <v>White</v>
      </c>
      <c r="G22" s="13">
        <v>160</v>
      </c>
      <c r="H22" s="14">
        <f>VLOOKUP(D:D,'[1]Production Plan '!$B:$F,5,0)</f>
        <v>12.7</v>
      </c>
      <c r="I22" s="27">
        <v>58</v>
      </c>
      <c r="J22" s="29">
        <f t="shared" ref="J22:J29" si="3">I22/(K22)</f>
        <v>2.7751196172248804E-2</v>
      </c>
      <c r="K22" s="9">
        <f t="shared" si="0"/>
        <v>2090</v>
      </c>
      <c r="L22" s="15" t="str">
        <f>VLOOKUP(D:D,[3]Sheet1!$A:$G,7,0)</f>
        <v>SWR-White</v>
      </c>
      <c r="M22" s="45"/>
      <c r="N22" s="25">
        <v>12</v>
      </c>
      <c r="O22" s="25">
        <f t="shared" si="1"/>
        <v>0</v>
      </c>
      <c r="P22" s="24"/>
    </row>
    <row r="23" spans="1:16" ht="15.75" x14ac:dyDescent="0.25">
      <c r="A23" s="8">
        <v>18</v>
      </c>
      <c r="B23" s="9" t="s">
        <v>39</v>
      </c>
      <c r="C23" s="9" t="s">
        <v>69</v>
      </c>
      <c r="D23" s="10">
        <v>11130</v>
      </c>
      <c r="E23" s="11" t="str">
        <f>VLOOKUP(D:D,'[1]Production Plan '!$B$7:$C$426,2,0)</f>
        <v>2 Inch Dia UPVC Pipe Class D</v>
      </c>
      <c r="F23" s="12" t="str">
        <f>VLOOKUP(D23,'[2]Production Plan '!$B$7:$G$398,6,0)</f>
        <v>Grey</v>
      </c>
      <c r="G23" s="13">
        <v>115</v>
      </c>
      <c r="H23" s="14">
        <f>VLOOKUP(D:D,'[1]Production Plan '!$B:$F,5,0)</f>
        <v>4.0999999999999996</v>
      </c>
      <c r="I23" s="39">
        <v>58</v>
      </c>
      <c r="J23" s="41">
        <f>I23/(K23+K24)</f>
        <v>3.1776468976852483E-2</v>
      </c>
      <c r="K23" s="9">
        <f t="shared" si="0"/>
        <v>529.5</v>
      </c>
      <c r="L23" s="15" t="str">
        <f>VLOOKUP(D:D,[3]Sheet1!$A:$G,7,0)</f>
        <v>SBS-Grey</v>
      </c>
      <c r="M23" s="45"/>
      <c r="N23" s="35">
        <v>12</v>
      </c>
      <c r="O23" s="35">
        <f t="shared" si="1"/>
        <v>0</v>
      </c>
      <c r="P23" s="37"/>
    </row>
    <row r="24" spans="1:16" ht="15.75" x14ac:dyDescent="0.25">
      <c r="A24" s="8">
        <v>19</v>
      </c>
      <c r="B24" s="9" t="s">
        <v>39</v>
      </c>
      <c r="C24" s="9" t="s">
        <v>21</v>
      </c>
      <c r="D24" s="10">
        <v>11733</v>
      </c>
      <c r="E24" s="11" t="str">
        <f>VLOOKUP(D:D,'[1]Production Plan '!$B$7:$C$426,2,0)</f>
        <v>2 Inch Dia UPVC Filter Class E</v>
      </c>
      <c r="F24" s="12" t="str">
        <f>VLOOKUP(D24,'[2]Production Plan '!$B$7:$G$398,6,0)</f>
        <v>Grey</v>
      </c>
      <c r="G24" s="13">
        <v>365</v>
      </c>
      <c r="H24" s="14">
        <f>VLOOKUP(D:D,'[1]Production Plan '!$B:$F,5,0)</f>
        <v>3.55</v>
      </c>
      <c r="I24" s="40"/>
      <c r="J24" s="42"/>
      <c r="K24" s="9">
        <f t="shared" si="0"/>
        <v>1295.75</v>
      </c>
      <c r="L24" s="15" t="str">
        <f>VLOOKUP(D:D,[3]Sheet1!$A:$G,7,0)</f>
        <v>SBS-Grey</v>
      </c>
      <c r="M24" s="45"/>
      <c r="N24" s="36"/>
      <c r="O24" s="36"/>
      <c r="P24" s="38"/>
    </row>
    <row r="25" spans="1:16" ht="31.5" x14ac:dyDescent="0.25">
      <c r="A25" s="8">
        <v>20</v>
      </c>
      <c r="B25" s="9" t="s">
        <v>40</v>
      </c>
      <c r="C25" s="9"/>
      <c r="D25" s="10">
        <v>13397</v>
      </c>
      <c r="E25" s="11" t="str">
        <f>VLOOKUP(D:D,'[1]Production Plan '!$B$7:$C$426,2,0)</f>
        <v>1.5 Inch Dia Upvc Pipe Class D-SP (Br)</v>
      </c>
      <c r="F25" s="12" t="str">
        <f>VLOOKUP(D25,'[2]Production Plan '!$B$7:$G$398,6,0)</f>
        <v>Grey</v>
      </c>
      <c r="G25" s="13">
        <v>0</v>
      </c>
      <c r="H25" s="14">
        <f>VLOOKUP(D:D,'[1]Production Plan '!$B:$F,5,0)</f>
        <v>2.85</v>
      </c>
      <c r="I25" s="13">
        <v>0</v>
      </c>
      <c r="J25" s="16" t="e">
        <f t="shared" si="3"/>
        <v>#DIV/0!</v>
      </c>
      <c r="K25" s="9">
        <f t="shared" si="0"/>
        <v>0</v>
      </c>
      <c r="L25" s="15" t="str">
        <f>VLOOKUP(D:D,[3]Sheet1!$A:$G,7,0)</f>
        <v>STD-Grey</v>
      </c>
      <c r="M25" s="45"/>
      <c r="N25" s="17">
        <v>0</v>
      </c>
      <c r="O25" s="17">
        <f t="shared" si="1"/>
        <v>12</v>
      </c>
      <c r="P25" s="18" t="s">
        <v>52</v>
      </c>
    </row>
    <row r="26" spans="1:16" ht="15.75" x14ac:dyDescent="0.25">
      <c r="A26" s="8">
        <v>21</v>
      </c>
      <c r="B26" s="9" t="s">
        <v>41</v>
      </c>
      <c r="C26" s="9" t="s">
        <v>49</v>
      </c>
      <c r="D26" s="10">
        <v>11503</v>
      </c>
      <c r="E26" s="11" t="str">
        <f>VLOOKUP(D:D,'[1]Production Plan '!$B$7:$C$426,2,0)</f>
        <v>1 Inch Dia UPVC Thread Pipe</v>
      </c>
      <c r="F26" s="12" t="str">
        <f>VLOOKUP(D26,'[2]Production Plan '!$B$7:$G$398,6,0)</f>
        <v>Green</v>
      </c>
      <c r="G26" s="13">
        <v>810</v>
      </c>
      <c r="H26" s="14">
        <f>VLOOKUP(D:D,'[1]Production Plan '!$B:$F,5,0)</f>
        <v>1.65</v>
      </c>
      <c r="I26" s="13">
        <v>174</v>
      </c>
      <c r="J26" s="16">
        <f t="shared" si="3"/>
        <v>0.11519364448857994</v>
      </c>
      <c r="K26" s="9">
        <f t="shared" si="0"/>
        <v>1510.5</v>
      </c>
      <c r="L26" s="15" t="str">
        <f>VLOOKUP(D:D,[3]Sheet1!$A:$G,7,0)</f>
        <v>Thread-Green</v>
      </c>
      <c r="M26" s="45"/>
      <c r="N26" s="17">
        <v>12</v>
      </c>
      <c r="O26" s="17">
        <f t="shared" si="1"/>
        <v>0</v>
      </c>
      <c r="P26" s="18"/>
    </row>
    <row r="27" spans="1:16" ht="15.75" x14ac:dyDescent="0.25">
      <c r="A27" s="8">
        <v>22</v>
      </c>
      <c r="B27" s="9" t="s">
        <v>42</v>
      </c>
      <c r="C27" s="9" t="s">
        <v>47</v>
      </c>
      <c r="D27" s="10">
        <v>12570</v>
      </c>
      <c r="E27" s="11" t="str">
        <f>VLOOKUP(D:D,'[1]Production Plan '!$B$7:$C$426,2,0)</f>
        <v>1 Inc HDPE Coil Pipe-Green</v>
      </c>
      <c r="F27" s="12" t="str">
        <f>VLOOKUP(D27,'[2]Production Plan '!$B$7:$G$398,6,0)</f>
        <v>Green</v>
      </c>
      <c r="G27" s="13">
        <v>29</v>
      </c>
      <c r="H27" s="14">
        <f>VLOOKUP(D:D,'[1]Production Plan '!$B:$F,5,0)</f>
        <v>35</v>
      </c>
      <c r="I27" s="13">
        <v>30</v>
      </c>
      <c r="J27" s="16">
        <f t="shared" si="3"/>
        <v>2.8708133971291867E-2</v>
      </c>
      <c r="K27" s="9">
        <f t="shared" si="0"/>
        <v>1045</v>
      </c>
      <c r="L27" s="15" t="str">
        <f>VLOOKUP(D:D,[3]Sheet1!$A:$G,7,0)</f>
        <v>HDPE D/L Green</v>
      </c>
      <c r="M27" s="45"/>
      <c r="N27" s="17">
        <v>12</v>
      </c>
      <c r="O27" s="17">
        <f t="shared" si="1"/>
        <v>0</v>
      </c>
      <c r="P27" s="18"/>
    </row>
    <row r="28" spans="1:16" ht="31.5" x14ac:dyDescent="0.25">
      <c r="A28" s="8">
        <v>23</v>
      </c>
      <c r="B28" s="9" t="s">
        <v>43</v>
      </c>
      <c r="C28" s="9" t="s">
        <v>51</v>
      </c>
      <c r="D28" s="10">
        <v>11317</v>
      </c>
      <c r="E28" s="11" t="str">
        <f>VLOOKUP(D:D,'[1]Production Plan '!$B$7:$C$426,2,0)</f>
        <v>110mm Dia Upvc Pipe SWR-1 Special (White)</v>
      </c>
      <c r="F28" s="12" t="str">
        <f>VLOOKUP(D28,'[2]Production Plan '!$B$7:$G$398,6,0)</f>
        <v>White</v>
      </c>
      <c r="G28" s="13">
        <v>505</v>
      </c>
      <c r="H28" s="14">
        <f>VLOOKUP(D:D,'[1]Production Plan '!$B:$F,5,0)</f>
        <v>10</v>
      </c>
      <c r="I28" s="13">
        <v>200</v>
      </c>
      <c r="J28" s="16">
        <f t="shared" si="3"/>
        <v>3.8095238095238099E-2</v>
      </c>
      <c r="K28" s="9">
        <f t="shared" si="0"/>
        <v>5250</v>
      </c>
      <c r="L28" s="15" t="str">
        <f>VLOOKUP(D:D,[3]Sheet1!$A:$G,7,0)</f>
        <v>SWR-White</v>
      </c>
      <c r="M28" s="45"/>
      <c r="N28" s="17">
        <v>12</v>
      </c>
      <c r="O28" s="17">
        <f t="shared" si="1"/>
        <v>0</v>
      </c>
      <c r="P28" s="18" t="s">
        <v>56</v>
      </c>
    </row>
    <row r="29" spans="1:16" ht="15.75" x14ac:dyDescent="0.25">
      <c r="A29" s="8">
        <v>24</v>
      </c>
      <c r="B29" s="9" t="s">
        <v>44</v>
      </c>
      <c r="C29" s="9" t="s">
        <v>47</v>
      </c>
      <c r="D29" s="10">
        <v>13388</v>
      </c>
      <c r="E29" s="11" t="str">
        <f>VLOOKUP(D:D,'[1]Production Plan '!$B$7:$C$426,2,0)</f>
        <v>CPVC Pipe 1''(25mm)X3M-SDR-13.5</v>
      </c>
      <c r="F29" s="12" t="str">
        <f>VLOOKUP(D29,'[2]Production Plan '!$B$7:$G$398,6,0)</f>
        <v>Off White</v>
      </c>
      <c r="G29" s="13">
        <v>910</v>
      </c>
      <c r="H29" s="14">
        <f>VLOOKUP(D:D,'[1]Production Plan '!$B:$F,5,0)</f>
        <v>0.9</v>
      </c>
      <c r="I29" s="27">
        <v>18</v>
      </c>
      <c r="J29" s="16">
        <f t="shared" si="3"/>
        <v>2.1505376344086023E-2</v>
      </c>
      <c r="K29" s="9">
        <f t="shared" si="0"/>
        <v>837</v>
      </c>
      <c r="L29" s="15" t="str">
        <f>VLOOKUP(D:D,[3]Sheet1!$A:$G,7,0)</f>
        <v>Com..</v>
      </c>
      <c r="M29" s="45"/>
      <c r="N29" s="25">
        <v>12</v>
      </c>
      <c r="O29" s="25">
        <f>12-N29</f>
        <v>0</v>
      </c>
      <c r="P29" s="30"/>
    </row>
    <row r="30" spans="1:16" ht="15.75" x14ac:dyDescent="0.25">
      <c r="A30" s="8"/>
      <c r="B30" s="9"/>
      <c r="C30" s="9"/>
      <c r="D30" s="9"/>
      <c r="E30" s="11"/>
      <c r="F30" s="12"/>
      <c r="G30" s="7"/>
      <c r="H30" s="14"/>
      <c r="I30" s="21">
        <f>SUM(I6:I29)</f>
        <v>1124</v>
      </c>
      <c r="J30" s="21"/>
      <c r="K30" s="21">
        <f>SUM(K6:K29)</f>
        <v>29644.35</v>
      </c>
      <c r="L30" s="15"/>
      <c r="M30" s="45"/>
      <c r="N30" s="17"/>
      <c r="O30" s="17"/>
      <c r="P30" s="9"/>
    </row>
  </sheetData>
  <mergeCells count="29">
    <mergeCell ref="N23:N24"/>
    <mergeCell ref="O23:O24"/>
    <mergeCell ref="P23:P24"/>
    <mergeCell ref="N18:N19"/>
    <mergeCell ref="O18:O19"/>
    <mergeCell ref="P18:P19"/>
    <mergeCell ref="I20:I21"/>
    <mergeCell ref="J20:J21"/>
    <mergeCell ref="N20:N21"/>
    <mergeCell ref="O20:O21"/>
    <mergeCell ref="P20:P21"/>
    <mergeCell ref="N7:N8"/>
    <mergeCell ref="O7:O8"/>
    <mergeCell ref="P7:P8"/>
    <mergeCell ref="I10:I11"/>
    <mergeCell ref="J10:J11"/>
    <mergeCell ref="N10:N11"/>
    <mergeCell ref="O10:O11"/>
    <mergeCell ref="P10:P11"/>
    <mergeCell ref="F1:J1"/>
    <mergeCell ref="F2:J2"/>
    <mergeCell ref="F3:L3"/>
    <mergeCell ref="M6:M30"/>
    <mergeCell ref="I7:I8"/>
    <mergeCell ref="J7:J8"/>
    <mergeCell ref="I18:I19"/>
    <mergeCell ref="J18:J19"/>
    <mergeCell ref="I23:I24"/>
    <mergeCell ref="J23:J24"/>
  </mergeCells>
  <conditionalFormatting sqref="E29">
    <cfRule type="duplicateValues" dxfId="29" priority="1"/>
  </conditionalFormatting>
  <conditionalFormatting sqref="E30 E6:E28">
    <cfRule type="duplicateValues" dxfId="28" priority="2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29"/>
  <sheetViews>
    <sheetView topLeftCell="A4" workbookViewId="0">
      <selection activeCell="L35" sqref="L35"/>
    </sheetView>
  </sheetViews>
  <sheetFormatPr defaultRowHeight="15" x14ac:dyDescent="0.25"/>
  <cols>
    <col min="11" max="11" width="9.5703125" bestFit="1" customWidth="1"/>
  </cols>
  <sheetData>
    <row r="1" spans="1:16" ht="15.75" x14ac:dyDescent="0.25">
      <c r="A1" s="32"/>
      <c r="B1" s="32"/>
      <c r="C1" s="32"/>
      <c r="D1" s="32"/>
      <c r="E1" s="32"/>
      <c r="F1" s="43" t="s">
        <v>0</v>
      </c>
      <c r="G1" s="43"/>
      <c r="H1" s="43"/>
      <c r="I1" s="43"/>
      <c r="J1" s="43"/>
      <c r="K1" s="32"/>
      <c r="L1" s="32"/>
      <c r="M1" s="32"/>
      <c r="N1" s="32"/>
      <c r="O1" s="32"/>
      <c r="P1" s="32"/>
    </row>
    <row r="2" spans="1:16" ht="15.75" x14ac:dyDescent="0.25">
      <c r="A2" s="32"/>
      <c r="B2" s="1"/>
      <c r="C2" s="2"/>
      <c r="D2" s="32"/>
      <c r="E2" s="32"/>
      <c r="F2" s="43" t="s">
        <v>1</v>
      </c>
      <c r="G2" s="43"/>
      <c r="H2" s="43"/>
      <c r="I2" s="43"/>
      <c r="J2" s="43"/>
      <c r="K2" s="32"/>
      <c r="L2" s="32"/>
      <c r="M2" s="32"/>
      <c r="N2" s="3"/>
      <c r="O2" s="32"/>
      <c r="P2" s="32"/>
    </row>
    <row r="3" spans="1:16" ht="15.75" x14ac:dyDescent="0.25">
      <c r="A3" s="32"/>
      <c r="B3" s="32"/>
      <c r="C3" s="32"/>
      <c r="D3" s="32"/>
      <c r="E3" s="32"/>
      <c r="F3" s="44" t="s">
        <v>2</v>
      </c>
      <c r="G3" s="44"/>
      <c r="H3" s="44"/>
      <c r="I3" s="44"/>
      <c r="J3" s="44"/>
      <c r="K3" s="44"/>
      <c r="L3" s="44"/>
      <c r="M3" s="32"/>
      <c r="N3" s="32"/>
      <c r="O3" s="32"/>
      <c r="P3" s="32"/>
    </row>
    <row r="4" spans="1:16" ht="15.75" x14ac:dyDescent="0.25">
      <c r="A4" s="32"/>
      <c r="B4" s="32"/>
      <c r="C4" s="32"/>
      <c r="D4" s="32"/>
      <c r="E4" s="4" t="s">
        <v>103</v>
      </c>
      <c r="F4" s="32"/>
      <c r="G4" s="32"/>
      <c r="H4" s="32"/>
      <c r="I4" s="32"/>
      <c r="J4" s="32"/>
      <c r="K4" s="32"/>
      <c r="L4" s="5"/>
      <c r="M4" s="32"/>
      <c r="N4" s="32"/>
      <c r="O4" s="32"/>
      <c r="P4" s="6"/>
    </row>
    <row r="5" spans="1:16" ht="78.75" x14ac:dyDescent="0.25">
      <c r="A5" s="7" t="s">
        <v>3</v>
      </c>
      <c r="B5" s="7" t="s">
        <v>4</v>
      </c>
      <c r="C5" s="7" t="s">
        <v>5</v>
      </c>
      <c r="D5" s="7" t="s">
        <v>6</v>
      </c>
      <c r="E5" s="7" t="s">
        <v>7</v>
      </c>
      <c r="F5" s="7" t="s">
        <v>8</v>
      </c>
      <c r="G5" s="7" t="s">
        <v>9</v>
      </c>
      <c r="H5" s="7" t="s">
        <v>10</v>
      </c>
      <c r="I5" s="7" t="s">
        <v>11</v>
      </c>
      <c r="J5" s="7" t="s">
        <v>12</v>
      </c>
      <c r="K5" s="7" t="s">
        <v>13</v>
      </c>
      <c r="L5" s="7" t="s">
        <v>14</v>
      </c>
      <c r="M5" s="7" t="s">
        <v>15</v>
      </c>
      <c r="N5" s="7" t="s">
        <v>16</v>
      </c>
      <c r="O5" s="7" t="s">
        <v>17</v>
      </c>
      <c r="P5" s="7" t="s">
        <v>18</v>
      </c>
    </row>
    <row r="6" spans="1:16" ht="31.5" x14ac:dyDescent="0.25">
      <c r="A6" s="8">
        <v>1</v>
      </c>
      <c r="B6" s="9" t="s">
        <v>19</v>
      </c>
      <c r="C6" s="9"/>
      <c r="D6" s="10">
        <v>11141</v>
      </c>
      <c r="E6" s="11" t="str">
        <f>VLOOKUP(D:D,'[1]Production Plan '!$B$7:$C$426,2,0)</f>
        <v>4 Inch Upvc Pipe Star (Gray 20 Ft )</v>
      </c>
      <c r="F6" s="12" t="str">
        <f>VLOOKUP(D6,'[2]Production Plan '!$B$7:$G$398,6,0)</f>
        <v>Grey</v>
      </c>
      <c r="G6" s="13">
        <v>0</v>
      </c>
      <c r="H6" s="14">
        <f>VLOOKUP(D:D,'[1]Production Plan '!$B:$F,5,0)</f>
        <v>12.5</v>
      </c>
      <c r="I6" s="13">
        <v>0</v>
      </c>
      <c r="J6" s="16" t="e">
        <f>I6/(K6)</f>
        <v>#DIV/0!</v>
      </c>
      <c r="K6" s="9">
        <f>G6*H6+I6</f>
        <v>0</v>
      </c>
      <c r="L6" s="15" t="str">
        <f>VLOOKUP(D:D,[3]Sheet1!$A:$G,7,0)</f>
        <v>SWR-Grey</v>
      </c>
      <c r="M6" s="45">
        <f>I29/K29</f>
        <v>5.2757201996264456E-2</v>
      </c>
      <c r="N6" s="17">
        <v>0</v>
      </c>
      <c r="O6" s="17">
        <f>12-N6</f>
        <v>12</v>
      </c>
      <c r="P6" s="18" t="s">
        <v>52</v>
      </c>
    </row>
    <row r="7" spans="1:16" ht="15.75" x14ac:dyDescent="0.25">
      <c r="A7" s="8">
        <v>2</v>
      </c>
      <c r="B7" s="9" t="s">
        <v>22</v>
      </c>
      <c r="C7" s="9" t="s">
        <v>104</v>
      </c>
      <c r="D7" s="10">
        <v>11346</v>
      </c>
      <c r="E7" s="11" t="str">
        <f>VLOOKUP(D:D,'[1]Production Plan '!$B$7:$C$426,2,0)</f>
        <v>200 MM Dia UPVC Pipe SWR-2</v>
      </c>
      <c r="F7" s="12" t="str">
        <f>VLOOKUP(D7,'[2]Production Plan '!$B$7:$G$398,6,0)</f>
        <v>White</v>
      </c>
      <c r="G7" s="13">
        <v>19</v>
      </c>
      <c r="H7" s="14">
        <f>VLOOKUP(D:D,'[1]Production Plan '!$B:$F,5,0)</f>
        <v>35.200000000000003</v>
      </c>
      <c r="I7" s="46">
        <v>276</v>
      </c>
      <c r="J7" s="41">
        <f>I7/(K7+K8)</f>
        <v>0.17415446744068649</v>
      </c>
      <c r="K7" s="9">
        <f t="shared" ref="K7:K28" si="0">G7*H7+I7</f>
        <v>944.80000000000007</v>
      </c>
      <c r="L7" s="15" t="str">
        <f>VLOOKUP(D:D,[3]Sheet1!$A:$G,7,0)</f>
        <v>SWR-White</v>
      </c>
      <c r="M7" s="45"/>
      <c r="N7" s="35">
        <v>5</v>
      </c>
      <c r="O7" s="35">
        <f t="shared" ref="O7:O26" si="1">12-N7</f>
        <v>7</v>
      </c>
      <c r="P7" s="37" t="s">
        <v>55</v>
      </c>
    </row>
    <row r="8" spans="1:16" ht="15.75" x14ac:dyDescent="0.25">
      <c r="A8" s="8">
        <v>3</v>
      </c>
      <c r="B8" s="9" t="s">
        <v>22</v>
      </c>
      <c r="C8" s="9" t="s">
        <v>21</v>
      </c>
      <c r="D8" s="10">
        <v>12503</v>
      </c>
      <c r="E8" s="11" t="str">
        <f>VLOOKUP(D:D,'[1]Production Plan '!$B$7:$C$426,2,0)</f>
        <v>12 Inch Dia Upvc Pipe Class-D</v>
      </c>
      <c r="F8" s="12" t="str">
        <f>VLOOKUP(D8,'[2]Production Plan '!$B$7:$G$398,6,0)</f>
        <v>Grey</v>
      </c>
      <c r="G8" s="13">
        <v>4</v>
      </c>
      <c r="H8" s="14">
        <f>VLOOKUP(D:D,'[1]Production Plan '!$B:$F,5,0)</f>
        <v>160</v>
      </c>
      <c r="I8" s="47"/>
      <c r="J8" s="42"/>
      <c r="K8" s="9">
        <f t="shared" si="0"/>
        <v>640</v>
      </c>
      <c r="L8" s="15" t="str">
        <f>VLOOKUP(D:D,[3]Sheet1!$A:$G,7,0)</f>
        <v>SBS-Grey</v>
      </c>
      <c r="M8" s="45"/>
      <c r="N8" s="36"/>
      <c r="O8" s="36"/>
      <c r="P8" s="38"/>
    </row>
    <row r="9" spans="1:16" ht="31.5" x14ac:dyDescent="0.25">
      <c r="A9" s="8">
        <v>4</v>
      </c>
      <c r="B9" s="9" t="s">
        <v>24</v>
      </c>
      <c r="C9" s="19"/>
      <c r="D9" s="10">
        <v>11105</v>
      </c>
      <c r="E9" s="11" t="str">
        <f>VLOOKUP(D:D,'[1]Production Plan '!$B$7:$C$426,2,0)</f>
        <v>1 Inch Dia Upvc Pipe Class-D</v>
      </c>
      <c r="F9" s="12" t="str">
        <f>VLOOKUP(D9,'[2]Production Plan '!$B$7:$G$398,6,0)</f>
        <v>Grey</v>
      </c>
      <c r="G9" s="13">
        <v>0</v>
      </c>
      <c r="H9" s="14">
        <f>VLOOKUP(D:D,'[1]Production Plan '!$B:$F,5,0)</f>
        <v>0.85</v>
      </c>
      <c r="I9" s="13">
        <v>0</v>
      </c>
      <c r="J9" s="16" t="e">
        <f t="shared" ref="J9:J16" si="2">I9/(K9)</f>
        <v>#DIV/0!</v>
      </c>
      <c r="K9" s="9">
        <f t="shared" si="0"/>
        <v>0</v>
      </c>
      <c r="L9" s="15" t="str">
        <f>VLOOKUP(D:D,[3]Sheet1!$A:$G,7,0)</f>
        <v>STD-Grey</v>
      </c>
      <c r="M9" s="45"/>
      <c r="N9" s="17">
        <v>0</v>
      </c>
      <c r="O9" s="17">
        <f t="shared" si="1"/>
        <v>12</v>
      </c>
      <c r="P9" s="18" t="s">
        <v>52</v>
      </c>
    </row>
    <row r="10" spans="1:16" ht="31.5" x14ac:dyDescent="0.25">
      <c r="A10" s="8">
        <v>5</v>
      </c>
      <c r="B10" s="9" t="s">
        <v>25</v>
      </c>
      <c r="C10" s="19" t="s">
        <v>53</v>
      </c>
      <c r="D10" s="10">
        <v>11506</v>
      </c>
      <c r="E10" s="11" t="str">
        <f>VLOOKUP(D:D,'[1]Production Plan '!$B$7:$C$426,2,0)</f>
        <v>2 Inch Dia UPVC Thread Pipe</v>
      </c>
      <c r="F10" s="12" t="str">
        <f>VLOOKUP(D10,'[2]Production Plan '!$B$7:$G$398,6,0)</f>
        <v>Green</v>
      </c>
      <c r="G10" s="13">
        <v>335</v>
      </c>
      <c r="H10" s="14">
        <f>VLOOKUP(D:D,'[1]Production Plan '!$B:$F,5,0)</f>
        <v>3.9</v>
      </c>
      <c r="I10" s="27">
        <v>140</v>
      </c>
      <c r="J10" s="16">
        <f t="shared" si="2"/>
        <v>9.6785343933632903E-2</v>
      </c>
      <c r="K10" s="9">
        <f t="shared" si="0"/>
        <v>1446.5</v>
      </c>
      <c r="L10" s="15" t="str">
        <f>VLOOKUP(D:D,[3]Sheet1!$A:$G,7,0)</f>
        <v>Thread-Green</v>
      </c>
      <c r="M10" s="45"/>
      <c r="N10" s="25">
        <v>11</v>
      </c>
      <c r="O10" s="25">
        <f t="shared" si="1"/>
        <v>1</v>
      </c>
      <c r="P10" s="30" t="s">
        <v>105</v>
      </c>
    </row>
    <row r="11" spans="1:16" ht="31.5" x14ac:dyDescent="0.25">
      <c r="A11" s="8">
        <v>6</v>
      </c>
      <c r="B11" s="22" t="s">
        <v>26</v>
      </c>
      <c r="C11" s="9" t="s">
        <v>57</v>
      </c>
      <c r="D11" s="10">
        <v>11108</v>
      </c>
      <c r="E11" s="11" t="str">
        <f>VLOOKUP(D:D,'[1]Production Plan '!$B$7:$C$426,2,0)</f>
        <v>1.5 Inch Dia UPVC Pipe Class-Economy</v>
      </c>
      <c r="F11" s="12" t="str">
        <f>VLOOKUP(D11,'[2]Production Plan '!$B$7:$G$398,6,0)</f>
        <v>White</v>
      </c>
      <c r="G11" s="13">
        <v>290</v>
      </c>
      <c r="H11" s="14">
        <f>VLOOKUP(D:D,'[1]Production Plan '!$B:$F,5,0)</f>
        <v>1.8</v>
      </c>
      <c r="I11" s="27">
        <v>56</v>
      </c>
      <c r="J11" s="16">
        <f t="shared" si="2"/>
        <v>9.6885813148788927E-2</v>
      </c>
      <c r="K11" s="9">
        <f t="shared" si="0"/>
        <v>578</v>
      </c>
      <c r="L11" s="15" t="str">
        <f>VLOOKUP(D:D,[3]Sheet1!$A:$G,7,0)</f>
        <v>Economy- White</v>
      </c>
      <c r="M11" s="45"/>
      <c r="N11" s="25">
        <v>11</v>
      </c>
      <c r="O11" s="25">
        <f t="shared" si="1"/>
        <v>1</v>
      </c>
      <c r="P11" s="30" t="s">
        <v>105</v>
      </c>
    </row>
    <row r="12" spans="1:16" ht="31.5" x14ac:dyDescent="0.25">
      <c r="A12" s="8">
        <v>7</v>
      </c>
      <c r="B12" s="22" t="s">
        <v>28</v>
      </c>
      <c r="C12" s="20" t="s">
        <v>21</v>
      </c>
      <c r="D12" s="10">
        <v>11302</v>
      </c>
      <c r="E12" s="11" t="str">
        <f>VLOOKUP(D:D,'[1]Production Plan '!$B$7:$C$426,2,0)</f>
        <v>40 mm Dia UPVC Pipe Class ISO</v>
      </c>
      <c r="F12" s="12" t="str">
        <f>VLOOKUP(D12,'[2]Production Plan '!$B$7:$G$398,6,0)</f>
        <v>White</v>
      </c>
      <c r="G12" s="34">
        <v>360</v>
      </c>
      <c r="H12" s="14">
        <f>VLOOKUP(D:D,'[1]Production Plan '!$B:$F,5,0)</f>
        <v>1.3</v>
      </c>
      <c r="I12" s="13">
        <v>50</v>
      </c>
      <c r="J12" s="16">
        <f t="shared" si="2"/>
        <v>9.6525096525096526E-2</v>
      </c>
      <c r="K12" s="9">
        <f t="shared" si="0"/>
        <v>518</v>
      </c>
      <c r="L12" s="15" t="str">
        <f>VLOOKUP(D:D,[3]Sheet1!$A:$G,7,0)</f>
        <v>SWR-White</v>
      </c>
      <c r="M12" s="45"/>
      <c r="N12" s="17">
        <v>11</v>
      </c>
      <c r="O12" s="17">
        <f t="shared" si="1"/>
        <v>1</v>
      </c>
      <c r="P12" s="18" t="s">
        <v>105</v>
      </c>
    </row>
    <row r="13" spans="1:16" ht="15.75" x14ac:dyDescent="0.25">
      <c r="A13" s="8">
        <v>8</v>
      </c>
      <c r="B13" s="9" t="s">
        <v>30</v>
      </c>
      <c r="C13" s="9" t="s">
        <v>77</v>
      </c>
      <c r="D13" s="10">
        <v>11309</v>
      </c>
      <c r="E13" s="11" t="str">
        <f>VLOOKUP(D:D,'[1]Production Plan '!$B$7:$C$426,2,0)</f>
        <v>110mm Dia UPVC Pipe ISO-2</v>
      </c>
      <c r="F13" s="12" t="str">
        <f>VLOOKUP(D13,'[2]Production Plan '!$B$7:$G$398,6,0)</f>
        <v>White</v>
      </c>
      <c r="G13" s="13">
        <v>189</v>
      </c>
      <c r="H13" s="14">
        <f>VLOOKUP(D:D,'[1]Production Plan '!$B:$F,5,0)</f>
        <v>11</v>
      </c>
      <c r="I13" s="27">
        <v>110</v>
      </c>
      <c r="J13" s="16">
        <f t="shared" si="2"/>
        <v>5.0251256281407038E-2</v>
      </c>
      <c r="K13" s="9">
        <f t="shared" si="0"/>
        <v>2189</v>
      </c>
      <c r="L13" s="15" t="str">
        <f>VLOOKUP(D:D,[3]Sheet1!$A:$G,7,0)</f>
        <v>SWR-White</v>
      </c>
      <c r="M13" s="45"/>
      <c r="N13" s="25">
        <v>12</v>
      </c>
      <c r="O13" s="25">
        <f t="shared" si="1"/>
        <v>0</v>
      </c>
      <c r="P13" s="30"/>
    </row>
    <row r="14" spans="1:16" ht="31.5" x14ac:dyDescent="0.25">
      <c r="A14" s="8">
        <v>9</v>
      </c>
      <c r="B14" s="9" t="s">
        <v>32</v>
      </c>
      <c r="C14" s="9"/>
      <c r="D14" s="10">
        <v>11335</v>
      </c>
      <c r="E14" s="11" t="str">
        <f>VLOOKUP(D:D,'[1]Production Plan '!$B$7:$C$426,2,0)</f>
        <v>160mm Dia Upvc PN-8 Pipe</v>
      </c>
      <c r="F14" s="12" t="str">
        <f>VLOOKUP(D14,'[2]Production Plan '!$B$7:$G$398,6,0)</f>
        <v>White</v>
      </c>
      <c r="G14" s="13">
        <v>0</v>
      </c>
      <c r="H14" s="14">
        <f>VLOOKUP(D:D,'[1]Production Plan '!$B:$F,5,0)</f>
        <v>26.6</v>
      </c>
      <c r="I14" s="13">
        <v>0</v>
      </c>
      <c r="J14" s="16" t="e">
        <f t="shared" si="2"/>
        <v>#DIV/0!</v>
      </c>
      <c r="K14" s="9">
        <f t="shared" si="0"/>
        <v>0</v>
      </c>
      <c r="L14" s="15" t="str">
        <f>VLOOKUP(D:D,[3]Sheet1!$A:$G,7,0)</f>
        <v>STD-White</v>
      </c>
      <c r="M14" s="45"/>
      <c r="N14" s="17">
        <v>0</v>
      </c>
      <c r="O14" s="17">
        <f t="shared" si="1"/>
        <v>12</v>
      </c>
      <c r="P14" s="18" t="s">
        <v>52</v>
      </c>
    </row>
    <row r="15" spans="1:16" ht="31.5" x14ac:dyDescent="0.25">
      <c r="A15" s="8">
        <v>10</v>
      </c>
      <c r="B15" s="9" t="s">
        <v>33</v>
      </c>
      <c r="C15" s="20"/>
      <c r="D15" s="10">
        <v>11325</v>
      </c>
      <c r="E15" s="11" t="str">
        <f>VLOOKUP(D:D,'[1]Production Plan '!$B$7:$C$426,2,0)</f>
        <v>110 mm Dia UPVC Pipe SWR-3</v>
      </c>
      <c r="F15" s="12" t="str">
        <f>VLOOKUP(D15,'[2]Production Plan '!$B$7:$G$398,6,0)</f>
        <v>White</v>
      </c>
      <c r="G15" s="13">
        <v>0</v>
      </c>
      <c r="H15" s="14">
        <f>VLOOKUP(D:D,'[1]Production Plan '!$B:$F,5,0)</f>
        <v>12.9</v>
      </c>
      <c r="I15" s="13">
        <v>0</v>
      </c>
      <c r="J15" s="16" t="e">
        <f t="shared" si="2"/>
        <v>#DIV/0!</v>
      </c>
      <c r="K15" s="9">
        <f t="shared" si="0"/>
        <v>0</v>
      </c>
      <c r="L15" s="15" t="str">
        <f>VLOOKUP(D:D,[3]Sheet1!$A:$G,7,0)</f>
        <v>SWR-White</v>
      </c>
      <c r="M15" s="45"/>
      <c r="N15" s="17">
        <v>0</v>
      </c>
      <c r="O15" s="17">
        <f t="shared" si="1"/>
        <v>12</v>
      </c>
      <c r="P15" s="18" t="s">
        <v>52</v>
      </c>
    </row>
    <row r="16" spans="1:16" ht="78.75" x14ac:dyDescent="0.25">
      <c r="A16" s="8">
        <v>11</v>
      </c>
      <c r="B16" s="9" t="s">
        <v>34</v>
      </c>
      <c r="C16" s="20" t="s">
        <v>58</v>
      </c>
      <c r="D16" s="10">
        <v>11502</v>
      </c>
      <c r="E16" s="11" t="str">
        <f>VLOOKUP(D:D,'[1]Production Plan '!$B$7:$C$426,2,0)</f>
        <v>0.75 Inch Dia UPVC Thread Pipe</v>
      </c>
      <c r="F16" s="12" t="str">
        <f>VLOOKUP(D16,'[2]Production Plan '!$B$7:$G$398,6,0)</f>
        <v>Green</v>
      </c>
      <c r="G16" s="13">
        <v>0</v>
      </c>
      <c r="H16" s="14">
        <f>VLOOKUP(D:D,'[1]Production Plan '!$B:$F,5,0)</f>
        <v>1.24</v>
      </c>
      <c r="I16" s="13">
        <v>30</v>
      </c>
      <c r="J16" s="16">
        <f t="shared" si="2"/>
        <v>1</v>
      </c>
      <c r="K16" s="9">
        <f t="shared" si="0"/>
        <v>30</v>
      </c>
      <c r="L16" s="15" t="str">
        <f>VLOOKUP(D:D,[3]Sheet1!$A:$G,7,0)</f>
        <v>Thread-Green</v>
      </c>
      <c r="M16" s="45"/>
      <c r="N16" s="17">
        <v>2</v>
      </c>
      <c r="O16" s="17">
        <f t="shared" si="1"/>
        <v>10</v>
      </c>
      <c r="P16" s="18" t="s">
        <v>106</v>
      </c>
    </row>
    <row r="17" spans="1:16" ht="15.75" x14ac:dyDescent="0.25">
      <c r="A17" s="8">
        <v>12</v>
      </c>
      <c r="B17" s="9" t="s">
        <v>35</v>
      </c>
      <c r="C17" s="9" t="s">
        <v>62</v>
      </c>
      <c r="D17" s="10">
        <v>11391</v>
      </c>
      <c r="E17" s="11" t="str">
        <f>VLOOKUP(D:D,'[1]Production Plan '!$B$7:$C$426,2,0)</f>
        <v>4 Inch Dia UPVC Pipe Class-D SPL</v>
      </c>
      <c r="F17" s="12" t="str">
        <f>VLOOKUP(D17,'[2]Production Plan '!$B$7:$G$398,6,0)</f>
        <v>Grey</v>
      </c>
      <c r="G17" s="13">
        <v>57</v>
      </c>
      <c r="H17" s="14">
        <f>VLOOKUP(D:D,'[1]Production Plan '!$B:$F,5,0)</f>
        <v>20</v>
      </c>
      <c r="I17" s="39">
        <v>100</v>
      </c>
      <c r="J17" s="41">
        <f>I17/(K17+K19)</f>
        <v>3.6496350364963501E-2</v>
      </c>
      <c r="K17" s="9">
        <f t="shared" si="0"/>
        <v>1240</v>
      </c>
      <c r="L17" s="15" t="str">
        <f>VLOOKUP(D:D,[3]Sheet1!$A:$G,7,0)</f>
        <v>Three Layer</v>
      </c>
      <c r="M17" s="45"/>
      <c r="N17" s="35">
        <v>12</v>
      </c>
      <c r="O17" s="35">
        <f t="shared" si="1"/>
        <v>0</v>
      </c>
      <c r="P17" s="37"/>
    </row>
    <row r="18" spans="1:16" ht="15.75" x14ac:dyDescent="0.25">
      <c r="A18" s="8">
        <v>13</v>
      </c>
      <c r="B18" s="9" t="s">
        <v>35</v>
      </c>
      <c r="C18" s="9"/>
      <c r="D18" s="10">
        <v>11200</v>
      </c>
      <c r="E18" s="11" t="str">
        <f>VLOOKUP(D:D,'[1]Production Plan '!$B$7:$C$426,2,0)</f>
        <v>5 Inch Dia Upvc Pipe Class-D SPL</v>
      </c>
      <c r="F18" s="12" t="str">
        <f>VLOOKUP(D18,'[2]Production Plan '!$B$7:$G$398,6,0)</f>
        <v>Grey</v>
      </c>
      <c r="G18" s="13">
        <v>16</v>
      </c>
      <c r="H18" s="14">
        <f>VLOOKUP(D:D,'[1]Production Plan '!$B:$F,5,0)</f>
        <v>31</v>
      </c>
      <c r="I18" s="58"/>
      <c r="J18" s="49"/>
      <c r="K18" s="9">
        <f t="shared" si="0"/>
        <v>496</v>
      </c>
      <c r="L18" s="15" t="str">
        <f>VLOOKUP(D:D,[3]Sheet1!$A:$G,7,0)</f>
        <v xml:space="preserve">Three Layer </v>
      </c>
      <c r="M18" s="45"/>
      <c r="N18" s="50"/>
      <c r="O18" s="50"/>
      <c r="P18" s="51"/>
    </row>
    <row r="19" spans="1:16" ht="15.75" x14ac:dyDescent="0.25">
      <c r="A19" s="8">
        <v>14</v>
      </c>
      <c r="B19" s="9" t="s">
        <v>35</v>
      </c>
      <c r="C19" s="9" t="s">
        <v>21</v>
      </c>
      <c r="D19" s="10">
        <v>11399</v>
      </c>
      <c r="E19" s="11" t="str">
        <f>VLOOKUP(D:D,'[1]Production Plan '!$B$7:$C$426,2,0)</f>
        <v>4 Inch Dia Upvc Pipe Class -D SPL Filter</v>
      </c>
      <c r="F19" s="12" t="str">
        <f>VLOOKUP(D19,'[2]Production Plan '!$B$7:$G$398,6,0)</f>
        <v>Grey</v>
      </c>
      <c r="G19" s="13">
        <f>132+18</f>
        <v>150</v>
      </c>
      <c r="H19" s="14">
        <f>VLOOKUP(D:D,'[1]Production Plan '!$B:$F,5,0)</f>
        <v>10</v>
      </c>
      <c r="I19" s="40"/>
      <c r="J19" s="42"/>
      <c r="K19" s="9">
        <f t="shared" si="0"/>
        <v>1500</v>
      </c>
      <c r="L19" s="15" t="str">
        <f>VLOOKUP(D:D,[3]Sheet1!$A:$G,7,0)</f>
        <v xml:space="preserve">Three Layer </v>
      </c>
      <c r="M19" s="45"/>
      <c r="N19" s="36"/>
      <c r="O19" s="36"/>
      <c r="P19" s="38"/>
    </row>
    <row r="20" spans="1:16" ht="15.75" x14ac:dyDescent="0.25">
      <c r="A20" s="8">
        <v>15</v>
      </c>
      <c r="B20" s="9" t="s">
        <v>36</v>
      </c>
      <c r="C20" s="9" t="s">
        <v>31</v>
      </c>
      <c r="D20" s="10">
        <v>11336</v>
      </c>
      <c r="E20" s="11" t="str">
        <f>VLOOKUP(D:D,'[1]Production Plan '!$B$7:$C$426,2,0)</f>
        <v>160mm Dia UPVC Pipe ISO (R) (Thickness 4.5-4.6 6mm)</v>
      </c>
      <c r="F20" s="12" t="str">
        <f>VLOOKUP(D20,'[2]Production Plan '!$B$7:$G$398,6,0)</f>
        <v>White</v>
      </c>
      <c r="G20" s="13">
        <v>87</v>
      </c>
      <c r="H20" s="14">
        <f>VLOOKUP(D:D,'[1]Production Plan '!$B:$F,5,0)</f>
        <v>25.7</v>
      </c>
      <c r="I20" s="27">
        <v>50</v>
      </c>
      <c r="J20" s="29">
        <f t="shared" ref="J20:J26" si="3">I20/(K20)</f>
        <v>2.1873222800647445E-2</v>
      </c>
      <c r="K20" s="9">
        <f t="shared" si="0"/>
        <v>2285.9</v>
      </c>
      <c r="L20" s="15" t="str">
        <f>VLOOKUP(D:D,[3]Sheet1!$A:$G,7,0)</f>
        <v>SWR-White</v>
      </c>
      <c r="M20" s="45"/>
      <c r="N20" s="25">
        <v>12</v>
      </c>
      <c r="O20" s="25">
        <f t="shared" si="1"/>
        <v>0</v>
      </c>
      <c r="P20" s="30"/>
    </row>
    <row r="21" spans="1:16" ht="15.75" x14ac:dyDescent="0.25">
      <c r="A21" s="8">
        <v>16</v>
      </c>
      <c r="B21" s="9" t="s">
        <v>38</v>
      </c>
      <c r="C21" s="9" t="s">
        <v>79</v>
      </c>
      <c r="D21" s="10">
        <v>12934</v>
      </c>
      <c r="E21" s="11" t="str">
        <f>VLOOKUP(D:D,'[1]Production Plan '!$B$7:$C$426,2,0)</f>
        <v>110 mm Dia Upvc Pipe SWR-3 SPL</v>
      </c>
      <c r="F21" s="12" t="str">
        <f>VLOOKUP(D21,'[2]Production Plan '!$B$7:$G$398,6,0)</f>
        <v>White</v>
      </c>
      <c r="G21" s="13">
        <v>191</v>
      </c>
      <c r="H21" s="14">
        <f>VLOOKUP(D:D,'[1]Production Plan '!$B:$F,5,0)</f>
        <v>12.7</v>
      </c>
      <c r="I21" s="27">
        <v>85</v>
      </c>
      <c r="J21" s="29">
        <f t="shared" si="3"/>
        <v>3.3855100171266979E-2</v>
      </c>
      <c r="K21" s="9">
        <f t="shared" si="0"/>
        <v>2510.6999999999998</v>
      </c>
      <c r="L21" s="15" t="str">
        <f>VLOOKUP(D:D,[3]Sheet1!$A:$G,7,0)</f>
        <v>SWR-White</v>
      </c>
      <c r="M21" s="45"/>
      <c r="N21" s="25">
        <v>12</v>
      </c>
      <c r="O21" s="25">
        <f t="shared" si="1"/>
        <v>0</v>
      </c>
      <c r="P21" s="24"/>
    </row>
    <row r="22" spans="1:16" ht="15.75" x14ac:dyDescent="0.25">
      <c r="A22" s="8">
        <v>17</v>
      </c>
      <c r="B22" s="9" t="s">
        <v>39</v>
      </c>
      <c r="C22" s="9" t="s">
        <v>31</v>
      </c>
      <c r="D22" s="10">
        <v>11130</v>
      </c>
      <c r="E22" s="11" t="str">
        <f>VLOOKUP(D:D,'[1]Production Plan '!$B$7:$C$426,2,0)</f>
        <v>2 Inch Dia UPVC Pipe Class D</v>
      </c>
      <c r="F22" s="12" t="str">
        <f>VLOOKUP(D22,'[2]Production Plan '!$B$7:$G$398,6,0)</f>
        <v>Grey</v>
      </c>
      <c r="G22" s="13">
        <v>365</v>
      </c>
      <c r="H22" s="14">
        <f>VLOOKUP(D:D,'[1]Production Plan '!$B:$F,5,0)</f>
        <v>4.0999999999999996</v>
      </c>
      <c r="I22" s="27">
        <v>80</v>
      </c>
      <c r="J22" s="29">
        <f t="shared" si="3"/>
        <v>5.074532191563591E-2</v>
      </c>
      <c r="K22" s="9">
        <f t="shared" si="0"/>
        <v>1576.4999999999998</v>
      </c>
      <c r="L22" s="15" t="str">
        <f>VLOOKUP(D:D,[3]Sheet1!$A:$G,7,0)</f>
        <v>SBS-Grey</v>
      </c>
      <c r="M22" s="45"/>
      <c r="N22" s="25">
        <v>12</v>
      </c>
      <c r="O22" s="25">
        <f t="shared" si="1"/>
        <v>0</v>
      </c>
      <c r="P22" s="30"/>
    </row>
    <row r="23" spans="1:16" ht="31.5" x14ac:dyDescent="0.25">
      <c r="A23" s="8">
        <v>18</v>
      </c>
      <c r="B23" s="9" t="s">
        <v>40</v>
      </c>
      <c r="C23" s="9" t="s">
        <v>21</v>
      </c>
      <c r="D23" s="10">
        <v>13397</v>
      </c>
      <c r="E23" s="11" t="str">
        <f>VLOOKUP(D:D,'[1]Production Plan '!$B$7:$C$426,2,0)</f>
        <v>1.5 Inch Dia Upvc Pipe Class D-SP (Br)</v>
      </c>
      <c r="F23" s="12" t="str">
        <f>VLOOKUP(D23,'[2]Production Plan '!$B$7:$G$398,6,0)</f>
        <v>Grey</v>
      </c>
      <c r="G23" s="13">
        <v>0</v>
      </c>
      <c r="H23" s="14">
        <f>VLOOKUP(D:D,'[1]Production Plan '!$B:$F,5,0)</f>
        <v>2.85</v>
      </c>
      <c r="I23" s="13">
        <v>0</v>
      </c>
      <c r="J23" s="29" t="e">
        <f t="shared" si="3"/>
        <v>#DIV/0!</v>
      </c>
      <c r="K23" s="9">
        <f t="shared" si="0"/>
        <v>0</v>
      </c>
      <c r="L23" s="15" t="str">
        <f>VLOOKUP(D:D,[3]Sheet1!$A:$G,7,0)</f>
        <v>STD-Grey</v>
      </c>
      <c r="M23" s="45"/>
      <c r="N23" s="17">
        <v>0</v>
      </c>
      <c r="O23" s="17">
        <f t="shared" si="1"/>
        <v>12</v>
      </c>
      <c r="P23" s="18" t="s">
        <v>52</v>
      </c>
    </row>
    <row r="24" spans="1:16" ht="31.5" x14ac:dyDescent="0.25">
      <c r="A24" s="8">
        <v>19</v>
      </c>
      <c r="B24" s="9" t="s">
        <v>41</v>
      </c>
      <c r="C24" s="9" t="s">
        <v>58</v>
      </c>
      <c r="D24" s="10">
        <v>11503</v>
      </c>
      <c r="E24" s="11" t="str">
        <f>VLOOKUP(D:D,'[1]Production Plan '!$B$7:$C$426,2,0)</f>
        <v>1 Inch Dia UPVC Thread Pipe</v>
      </c>
      <c r="F24" s="12" t="str">
        <f>VLOOKUP(D24,'[2]Production Plan '!$B$7:$G$398,6,0)</f>
        <v>Green</v>
      </c>
      <c r="G24" s="13">
        <v>550</v>
      </c>
      <c r="H24" s="14">
        <f>VLOOKUP(D:D,'[1]Production Plan '!$B:$F,5,0)</f>
        <v>1.65</v>
      </c>
      <c r="I24" s="13">
        <v>125</v>
      </c>
      <c r="J24" s="29">
        <f t="shared" si="3"/>
        <v>0.12106537530266344</v>
      </c>
      <c r="K24" s="9">
        <f t="shared" si="0"/>
        <v>1032.5</v>
      </c>
      <c r="L24" s="15" t="str">
        <f>VLOOKUP(D:D,[3]Sheet1!$A:$G,7,0)</f>
        <v>Thread-Green</v>
      </c>
      <c r="M24" s="45"/>
      <c r="N24" s="17">
        <v>11</v>
      </c>
      <c r="O24" s="17">
        <f t="shared" si="1"/>
        <v>1</v>
      </c>
      <c r="P24" s="18" t="s">
        <v>105</v>
      </c>
    </row>
    <row r="25" spans="1:16" ht="15.75" x14ac:dyDescent="0.25">
      <c r="A25" s="8">
        <v>20</v>
      </c>
      <c r="B25" s="9" t="s">
        <v>42</v>
      </c>
      <c r="C25" s="9" t="s">
        <v>46</v>
      </c>
      <c r="D25" s="10">
        <v>12570</v>
      </c>
      <c r="E25" s="11" t="str">
        <f>VLOOKUP(D:D,'[1]Production Plan '!$B$7:$C$426,2,0)</f>
        <v>1 Inc HDPE Coil Pipe-Green</v>
      </c>
      <c r="F25" s="12" t="str">
        <f>VLOOKUP(D25,'[2]Production Plan '!$B$7:$G$398,6,0)</f>
        <v>Green</v>
      </c>
      <c r="G25" s="13">
        <v>28</v>
      </c>
      <c r="H25" s="14">
        <f>VLOOKUP(D:D,'[1]Production Plan '!$B:$F,5,0)</f>
        <v>35</v>
      </c>
      <c r="I25" s="13">
        <v>10</v>
      </c>
      <c r="J25" s="29">
        <f t="shared" si="3"/>
        <v>1.0101010101010102E-2</v>
      </c>
      <c r="K25" s="9">
        <f t="shared" si="0"/>
        <v>990</v>
      </c>
      <c r="L25" s="15" t="str">
        <f>VLOOKUP(D:D,[3]Sheet1!$A:$G,7,0)</f>
        <v>HDPE D/L Green</v>
      </c>
      <c r="M25" s="45"/>
      <c r="N25" s="17">
        <v>12</v>
      </c>
      <c r="O25" s="17">
        <f t="shared" si="1"/>
        <v>0</v>
      </c>
      <c r="P25" s="18"/>
    </row>
    <row r="26" spans="1:16" ht="15.75" x14ac:dyDescent="0.25">
      <c r="A26" s="8">
        <v>21</v>
      </c>
      <c r="B26" s="9" t="s">
        <v>43</v>
      </c>
      <c r="C26" s="9" t="s">
        <v>54</v>
      </c>
      <c r="D26" s="10">
        <v>11317</v>
      </c>
      <c r="E26" s="11" t="str">
        <f>VLOOKUP(D:D,'[1]Production Plan '!$B$7:$C$426,2,0)</f>
        <v>110mm Dia Upvc Pipe SWR-1 Special (White)</v>
      </c>
      <c r="F26" s="12" t="str">
        <f>VLOOKUP(D26,'[2]Production Plan '!$B$7:$G$398,6,0)</f>
        <v>White</v>
      </c>
      <c r="G26" s="13">
        <v>496</v>
      </c>
      <c r="H26" s="14">
        <f>VLOOKUP(D:D,'[1]Production Plan '!$B:$F,5,0)</f>
        <v>10</v>
      </c>
      <c r="I26" s="13">
        <v>103</v>
      </c>
      <c r="J26" s="16">
        <f t="shared" si="3"/>
        <v>2.0343669761011259E-2</v>
      </c>
      <c r="K26" s="9">
        <f t="shared" si="0"/>
        <v>5063</v>
      </c>
      <c r="L26" s="15" t="str">
        <f>VLOOKUP(D:D,[3]Sheet1!$A:$G,7,0)</f>
        <v>SWR-White</v>
      </c>
      <c r="M26" s="45"/>
      <c r="N26" s="17">
        <v>12</v>
      </c>
      <c r="O26" s="17">
        <f t="shared" si="1"/>
        <v>0</v>
      </c>
      <c r="P26" s="18"/>
    </row>
    <row r="27" spans="1:16" ht="15.75" x14ac:dyDescent="0.25">
      <c r="A27" s="8">
        <v>22</v>
      </c>
      <c r="B27" s="9" t="s">
        <v>44</v>
      </c>
      <c r="C27" s="9"/>
      <c r="D27" s="10">
        <v>13388</v>
      </c>
      <c r="E27" s="11" t="str">
        <f>VLOOKUP(D:D,'[1]Production Plan '!$B$7:$C$426,2,0)</f>
        <v>CPVC Pipe 1''(25mm)X3M-SDR-13.5</v>
      </c>
      <c r="F27" s="12" t="str">
        <f>VLOOKUP(D27,'[2]Production Plan '!$B$7:$G$398,6,0)</f>
        <v>Off White</v>
      </c>
      <c r="G27" s="13">
        <v>340</v>
      </c>
      <c r="H27" s="14">
        <f>VLOOKUP(D:D,'[1]Production Plan '!$B:$F,5,0)</f>
        <v>0.9</v>
      </c>
      <c r="I27" s="39">
        <v>25</v>
      </c>
      <c r="J27" s="41">
        <f>I28/(K28)</f>
        <v>0</v>
      </c>
      <c r="K27" s="9">
        <f t="shared" si="0"/>
        <v>331</v>
      </c>
      <c r="L27" s="15" t="str">
        <f>VLOOKUP(D:D,[3]Sheet1!$A:$G,7,0)</f>
        <v>Com..</v>
      </c>
      <c r="M27" s="45"/>
      <c r="N27" s="35">
        <v>7</v>
      </c>
      <c r="O27" s="35">
        <f>12-N27</f>
        <v>5</v>
      </c>
      <c r="P27" s="37" t="s">
        <v>107</v>
      </c>
    </row>
    <row r="28" spans="1:16" ht="15.75" x14ac:dyDescent="0.25">
      <c r="A28" s="8">
        <v>23</v>
      </c>
      <c r="B28" s="9" t="s">
        <v>44</v>
      </c>
      <c r="C28" s="9" t="s">
        <v>58</v>
      </c>
      <c r="D28" s="10">
        <v>13387</v>
      </c>
      <c r="E28" s="11" t="str">
        <f>VLOOKUP(D:D,'[1]Production Plan '!$B$7:$C$426,2,0)</f>
        <v>CPVC Pipe 3/4''(20mm)X3M-SDR-13.5</v>
      </c>
      <c r="F28" s="12" t="str">
        <f>VLOOKUP(D28,'[2]Production Plan '!$B$7:$G$398,6,0)</f>
        <v>Off White</v>
      </c>
      <c r="G28" s="13">
        <v>240</v>
      </c>
      <c r="H28" s="14">
        <f>VLOOKUP(D:D,'[1]Production Plan '!$B:$F,5,0)</f>
        <v>0.55000000000000004</v>
      </c>
      <c r="I28" s="40"/>
      <c r="J28" s="42"/>
      <c r="K28" s="9">
        <f t="shared" si="0"/>
        <v>132</v>
      </c>
      <c r="L28" s="15" t="str">
        <f>VLOOKUP(D:D,[3]Sheet1!$A:$G,7,0)</f>
        <v>Com..</v>
      </c>
      <c r="M28" s="45"/>
      <c r="N28" s="36"/>
      <c r="O28" s="36"/>
      <c r="P28" s="38"/>
    </row>
    <row r="29" spans="1:16" ht="15.75" x14ac:dyDescent="0.25">
      <c r="A29" s="8"/>
      <c r="B29" s="9"/>
      <c r="C29" s="9"/>
      <c r="D29" s="9"/>
      <c r="E29" s="11"/>
      <c r="F29" s="12"/>
      <c r="G29" s="7"/>
      <c r="H29" s="14"/>
      <c r="I29" s="21">
        <f>SUM(I6:I28)</f>
        <v>1240</v>
      </c>
      <c r="J29" s="21"/>
      <c r="K29" s="21">
        <f>SUM(K6:K28)</f>
        <v>23503.899999999998</v>
      </c>
      <c r="L29" s="15"/>
      <c r="M29" s="45"/>
      <c r="N29" s="17"/>
      <c r="O29" s="17"/>
      <c r="P29" s="9"/>
    </row>
  </sheetData>
  <mergeCells count="19">
    <mergeCell ref="N27:N28"/>
    <mergeCell ref="O27:O28"/>
    <mergeCell ref="P27:P28"/>
    <mergeCell ref="N7:N8"/>
    <mergeCell ref="O7:O8"/>
    <mergeCell ref="P7:P8"/>
    <mergeCell ref="I17:I19"/>
    <mergeCell ref="J17:J19"/>
    <mergeCell ref="N17:N19"/>
    <mergeCell ref="O17:O19"/>
    <mergeCell ref="P17:P19"/>
    <mergeCell ref="F1:J1"/>
    <mergeCell ref="F2:J2"/>
    <mergeCell ref="F3:L3"/>
    <mergeCell ref="M6:M29"/>
    <mergeCell ref="I7:I8"/>
    <mergeCell ref="J7:J8"/>
    <mergeCell ref="I27:I28"/>
    <mergeCell ref="J27:J28"/>
  </mergeCells>
  <conditionalFormatting sqref="E28">
    <cfRule type="duplicateValues" dxfId="27" priority="2"/>
  </conditionalFormatting>
  <conditionalFormatting sqref="E29 E6:E26">
    <cfRule type="duplicateValues" dxfId="26" priority="3"/>
  </conditionalFormatting>
  <conditionalFormatting sqref="E27">
    <cfRule type="duplicateValues" dxfId="25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31"/>
  <sheetViews>
    <sheetView workbookViewId="0">
      <selection activeCell="K32" sqref="K32"/>
    </sheetView>
  </sheetViews>
  <sheetFormatPr defaultRowHeight="15" x14ac:dyDescent="0.25"/>
  <cols>
    <col min="11" max="11" width="9.5703125" bestFit="1" customWidth="1"/>
  </cols>
  <sheetData>
    <row r="1" spans="1:16" ht="15.75" x14ac:dyDescent="0.25">
      <c r="A1" s="32"/>
      <c r="B1" s="32"/>
      <c r="C1" s="32"/>
      <c r="D1" s="32"/>
      <c r="E1" s="32"/>
      <c r="F1" s="43" t="s">
        <v>0</v>
      </c>
      <c r="G1" s="43"/>
      <c r="H1" s="43"/>
      <c r="I1" s="43"/>
      <c r="J1" s="43"/>
      <c r="K1" s="32"/>
      <c r="L1" s="32"/>
      <c r="M1" s="32"/>
      <c r="N1" s="32"/>
      <c r="O1" s="32"/>
      <c r="P1" s="32"/>
    </row>
    <row r="2" spans="1:16" ht="15.75" x14ac:dyDescent="0.25">
      <c r="A2" s="32"/>
      <c r="B2" s="1"/>
      <c r="C2" s="2"/>
      <c r="D2" s="32"/>
      <c r="E2" s="32"/>
      <c r="F2" s="43" t="s">
        <v>1</v>
      </c>
      <c r="G2" s="43"/>
      <c r="H2" s="43"/>
      <c r="I2" s="43"/>
      <c r="J2" s="43"/>
      <c r="K2" s="32"/>
      <c r="L2" s="32"/>
      <c r="M2" s="32"/>
      <c r="N2" s="3"/>
      <c r="O2" s="32"/>
      <c r="P2" s="32"/>
    </row>
    <row r="3" spans="1:16" ht="15.75" x14ac:dyDescent="0.25">
      <c r="A3" s="32"/>
      <c r="B3" s="32"/>
      <c r="C3" s="32"/>
      <c r="D3" s="32"/>
      <c r="E3" s="32"/>
      <c r="F3" s="44" t="s">
        <v>2</v>
      </c>
      <c r="G3" s="44"/>
      <c r="H3" s="44"/>
      <c r="I3" s="44"/>
      <c r="J3" s="44"/>
      <c r="K3" s="44"/>
      <c r="L3" s="44"/>
      <c r="M3" s="32"/>
      <c r="N3" s="32"/>
      <c r="O3" s="32"/>
      <c r="P3" s="32"/>
    </row>
    <row r="4" spans="1:16" ht="15.75" x14ac:dyDescent="0.25">
      <c r="A4" s="32"/>
      <c r="B4" s="32"/>
      <c r="C4" s="32"/>
      <c r="D4" s="32"/>
      <c r="E4" s="4" t="s">
        <v>108</v>
      </c>
      <c r="F4" s="32"/>
      <c r="G4" s="32"/>
      <c r="H4" s="32"/>
      <c r="I4" s="32"/>
      <c r="J4" s="32"/>
      <c r="K4" s="32"/>
      <c r="L4" s="5"/>
      <c r="M4" s="32"/>
      <c r="N4" s="32"/>
      <c r="O4" s="32"/>
      <c r="P4" s="6"/>
    </row>
    <row r="5" spans="1:16" ht="78.75" x14ac:dyDescent="0.25">
      <c r="A5" s="7" t="s">
        <v>3</v>
      </c>
      <c r="B5" s="7" t="s">
        <v>4</v>
      </c>
      <c r="C5" s="7" t="s">
        <v>5</v>
      </c>
      <c r="D5" s="7" t="s">
        <v>6</v>
      </c>
      <c r="E5" s="7" t="s">
        <v>7</v>
      </c>
      <c r="F5" s="7" t="s">
        <v>8</v>
      </c>
      <c r="G5" s="7" t="s">
        <v>9</v>
      </c>
      <c r="H5" s="7" t="s">
        <v>10</v>
      </c>
      <c r="I5" s="7" t="s">
        <v>11</v>
      </c>
      <c r="J5" s="7" t="s">
        <v>12</v>
      </c>
      <c r="K5" s="7" t="s">
        <v>13</v>
      </c>
      <c r="L5" s="7" t="s">
        <v>14</v>
      </c>
      <c r="M5" s="7" t="s">
        <v>15</v>
      </c>
      <c r="N5" s="7" t="s">
        <v>16</v>
      </c>
      <c r="O5" s="7" t="s">
        <v>17</v>
      </c>
      <c r="P5" s="7" t="s">
        <v>18</v>
      </c>
    </row>
    <row r="6" spans="1:16" ht="31.5" x14ac:dyDescent="0.25">
      <c r="A6" s="8">
        <v>1</v>
      </c>
      <c r="B6" s="9" t="s">
        <v>19</v>
      </c>
      <c r="C6" s="9"/>
      <c r="D6" s="10">
        <v>11141</v>
      </c>
      <c r="E6" s="11" t="str">
        <f>VLOOKUP(D:D,'[1]Production Plan '!$B$7:$C$426,2,0)</f>
        <v>4 Inch Upvc Pipe Star (Gray 20 Ft )</v>
      </c>
      <c r="F6" s="12" t="str">
        <f>VLOOKUP(D6,'[2]Production Plan '!$B$7:$G$398,6,0)</f>
        <v>Grey</v>
      </c>
      <c r="G6" s="13">
        <v>0</v>
      </c>
      <c r="H6" s="14">
        <f>VLOOKUP(D:D,'[1]Production Plan '!$B:$F,5,0)</f>
        <v>12.5</v>
      </c>
      <c r="I6" s="13">
        <v>0</v>
      </c>
      <c r="J6" s="16" t="e">
        <f>I6/(K6)</f>
        <v>#DIV/0!</v>
      </c>
      <c r="K6" s="9">
        <f>G6*H6+I6</f>
        <v>0</v>
      </c>
      <c r="L6" s="15" t="str">
        <f>VLOOKUP(D:D,[3]Sheet1!$A:$G,7,0)</f>
        <v>SWR-Grey</v>
      </c>
      <c r="M6" s="45">
        <f>I31/K31</f>
        <v>3.708416775553789E-2</v>
      </c>
      <c r="N6" s="17">
        <v>0</v>
      </c>
      <c r="O6" s="17">
        <f>12-N6</f>
        <v>12</v>
      </c>
      <c r="P6" s="18" t="s">
        <v>52</v>
      </c>
    </row>
    <row r="7" spans="1:16" ht="15.75" x14ac:dyDescent="0.25">
      <c r="A7" s="8">
        <v>2</v>
      </c>
      <c r="B7" s="9" t="s">
        <v>22</v>
      </c>
      <c r="C7" s="9" t="s">
        <v>23</v>
      </c>
      <c r="D7" s="10">
        <v>11346</v>
      </c>
      <c r="E7" s="11" t="str">
        <f>VLOOKUP(D:D,'[1]Production Plan '!$B$7:$C$426,2,0)</f>
        <v>200 MM Dia UPVC Pipe SWR-2</v>
      </c>
      <c r="F7" s="12" t="str">
        <f>VLOOKUP(D7,'[2]Production Plan '!$B$7:$G$398,6,0)</f>
        <v>White</v>
      </c>
      <c r="G7" s="13">
        <v>0</v>
      </c>
      <c r="H7" s="14">
        <f>VLOOKUP(D:D,'[1]Production Plan '!$B:$F,5,0)</f>
        <v>35.200000000000003</v>
      </c>
      <c r="I7" s="46">
        <v>55</v>
      </c>
      <c r="J7" s="41">
        <f>I7/(K7+K8)</f>
        <v>1.2571428571428572E-2</v>
      </c>
      <c r="K7" s="9">
        <f t="shared" ref="K7:K30" si="0">G7*H7+I7</f>
        <v>55</v>
      </c>
      <c r="L7" s="15" t="str">
        <f>VLOOKUP(D:D,[3]Sheet1!$A:$G,7,0)</f>
        <v>SWR-White</v>
      </c>
      <c r="M7" s="45"/>
      <c r="N7" s="35">
        <v>12</v>
      </c>
      <c r="O7" s="35">
        <f t="shared" ref="O7:O28" si="1">12-N7</f>
        <v>0</v>
      </c>
      <c r="P7" s="37"/>
    </row>
    <row r="8" spans="1:16" ht="15.75" x14ac:dyDescent="0.25">
      <c r="A8" s="8">
        <v>3</v>
      </c>
      <c r="B8" s="9" t="s">
        <v>22</v>
      </c>
      <c r="C8" s="9" t="s">
        <v>21</v>
      </c>
      <c r="D8" s="10">
        <v>12503</v>
      </c>
      <c r="E8" s="11" t="str">
        <f>VLOOKUP(D:D,'[1]Production Plan '!$B$7:$C$426,2,0)</f>
        <v>12 Inch Dia Upvc Pipe Class-D</v>
      </c>
      <c r="F8" s="12" t="str">
        <f>VLOOKUP(D8,'[2]Production Plan '!$B$7:$G$398,6,0)</f>
        <v>Grey</v>
      </c>
      <c r="G8" s="13">
        <v>27</v>
      </c>
      <c r="H8" s="14">
        <f>VLOOKUP(D:D,'[1]Production Plan '!$B:$F,5,0)</f>
        <v>160</v>
      </c>
      <c r="I8" s="47"/>
      <c r="J8" s="42"/>
      <c r="K8" s="9">
        <f t="shared" si="0"/>
        <v>4320</v>
      </c>
      <c r="L8" s="15" t="str">
        <f>VLOOKUP(D:D,[3]Sheet1!$A:$G,7,0)</f>
        <v>SBS-Grey</v>
      </c>
      <c r="M8" s="45"/>
      <c r="N8" s="36"/>
      <c r="O8" s="36"/>
      <c r="P8" s="38"/>
    </row>
    <row r="9" spans="1:16" ht="31.5" x14ac:dyDescent="0.25">
      <c r="A9" s="8">
        <v>4</v>
      </c>
      <c r="B9" s="9" t="s">
        <v>24</v>
      </c>
      <c r="C9" s="19"/>
      <c r="D9" s="10">
        <v>11105</v>
      </c>
      <c r="E9" s="11" t="str">
        <f>VLOOKUP(D:D,'[1]Production Plan '!$B$7:$C$426,2,0)</f>
        <v>1 Inch Dia Upvc Pipe Class-D</v>
      </c>
      <c r="F9" s="12" t="str">
        <f>VLOOKUP(D9,'[2]Production Plan '!$B$7:$G$398,6,0)</f>
        <v>Grey</v>
      </c>
      <c r="G9" s="13">
        <v>0</v>
      </c>
      <c r="H9" s="14">
        <f>VLOOKUP(D:D,'[1]Production Plan '!$B:$F,5,0)</f>
        <v>0.85</v>
      </c>
      <c r="I9" s="13">
        <v>0</v>
      </c>
      <c r="J9" s="16" t="e">
        <f t="shared" ref="J9:J17" si="2">I9/(K9)</f>
        <v>#DIV/0!</v>
      </c>
      <c r="K9" s="9">
        <f t="shared" si="0"/>
        <v>0</v>
      </c>
      <c r="L9" s="15" t="str">
        <f>VLOOKUP(D:D,[3]Sheet1!$A:$G,7,0)</f>
        <v>STD-Grey</v>
      </c>
      <c r="M9" s="45"/>
      <c r="N9" s="17">
        <v>0</v>
      </c>
      <c r="O9" s="17">
        <f t="shared" si="1"/>
        <v>12</v>
      </c>
      <c r="P9" s="18" t="s">
        <v>52</v>
      </c>
    </row>
    <row r="10" spans="1:16" ht="15.75" x14ac:dyDescent="0.25">
      <c r="A10" s="8">
        <v>5</v>
      </c>
      <c r="B10" s="9" t="s">
        <v>25</v>
      </c>
      <c r="C10" s="19" t="s">
        <v>20</v>
      </c>
      <c r="D10" s="10">
        <v>11506</v>
      </c>
      <c r="E10" s="11" t="str">
        <f>VLOOKUP(D:D,'[1]Production Plan '!$B$7:$C$426,2,0)</f>
        <v>2 Inch Dia UPVC Thread Pipe</v>
      </c>
      <c r="F10" s="12" t="str">
        <f>VLOOKUP(D10,'[2]Production Plan '!$B$7:$G$398,6,0)</f>
        <v>Green</v>
      </c>
      <c r="G10" s="13">
        <v>485</v>
      </c>
      <c r="H10" s="14">
        <f>VLOOKUP(D:D,'[1]Production Plan '!$B:$F,5,0)</f>
        <v>3.9</v>
      </c>
      <c r="I10" s="27">
        <v>90</v>
      </c>
      <c r="J10" s="16">
        <f t="shared" si="2"/>
        <v>4.5420136260408785E-2</v>
      </c>
      <c r="K10" s="9">
        <f t="shared" si="0"/>
        <v>1981.5</v>
      </c>
      <c r="L10" s="15" t="str">
        <f>VLOOKUP(D:D,[3]Sheet1!$A:$G,7,0)</f>
        <v>Thread-Green</v>
      </c>
      <c r="M10" s="45"/>
      <c r="N10" s="25">
        <v>12</v>
      </c>
      <c r="O10" s="25">
        <f t="shared" si="1"/>
        <v>0</v>
      </c>
      <c r="P10" s="30"/>
    </row>
    <row r="11" spans="1:16" ht="15.75" x14ac:dyDescent="0.25">
      <c r="A11" s="8">
        <v>6</v>
      </c>
      <c r="B11" s="22" t="s">
        <v>26</v>
      </c>
      <c r="C11" s="9" t="s">
        <v>29</v>
      </c>
      <c r="D11" s="10">
        <v>11108</v>
      </c>
      <c r="E11" s="11" t="str">
        <f>VLOOKUP(D:D,'[1]Production Plan '!$B$7:$C$426,2,0)</f>
        <v>1.5 Inch Dia UPVC Pipe Class-Economy</v>
      </c>
      <c r="F11" s="12" t="str">
        <f>VLOOKUP(D11,'[2]Production Plan '!$B$7:$G$398,6,0)</f>
        <v>White</v>
      </c>
      <c r="G11" s="13">
        <v>670</v>
      </c>
      <c r="H11" s="14">
        <f>VLOOKUP(D:D,'[1]Production Plan '!$B:$F,5,0)</f>
        <v>1.8</v>
      </c>
      <c r="I11" s="27">
        <v>159</v>
      </c>
      <c r="J11" s="16">
        <f t="shared" si="2"/>
        <v>0.11648351648351649</v>
      </c>
      <c r="K11" s="9">
        <f t="shared" si="0"/>
        <v>1365</v>
      </c>
      <c r="L11" s="15" t="str">
        <f>VLOOKUP(D:D,[3]Sheet1!$A:$G,7,0)</f>
        <v>Economy- White</v>
      </c>
      <c r="M11" s="45"/>
      <c r="N11" s="25">
        <v>12</v>
      </c>
      <c r="O11" s="25">
        <f t="shared" si="1"/>
        <v>0</v>
      </c>
      <c r="P11" s="30"/>
    </row>
    <row r="12" spans="1:16" ht="15.75" x14ac:dyDescent="0.25">
      <c r="A12" s="8">
        <v>7</v>
      </c>
      <c r="B12" s="22" t="s">
        <v>28</v>
      </c>
      <c r="C12" s="20" t="s">
        <v>21</v>
      </c>
      <c r="D12" s="10">
        <v>11302</v>
      </c>
      <c r="E12" s="11" t="str">
        <f>VLOOKUP(D:D,'[1]Production Plan '!$B$7:$C$426,2,0)</f>
        <v>40 mm Dia UPVC Pipe Class ISO</v>
      </c>
      <c r="F12" s="12" t="str">
        <f>VLOOKUP(D12,'[2]Production Plan '!$B$7:$G$398,6,0)</f>
        <v>White</v>
      </c>
      <c r="G12" s="34">
        <v>370</v>
      </c>
      <c r="H12" s="14">
        <f>VLOOKUP(D:D,'[1]Production Plan '!$B:$F,5,0)</f>
        <v>1.3</v>
      </c>
      <c r="I12" s="39">
        <v>73</v>
      </c>
      <c r="J12" s="41">
        <f t="shared" si="2"/>
        <v>0.13176895306859207</v>
      </c>
      <c r="K12" s="9">
        <f t="shared" si="0"/>
        <v>554</v>
      </c>
      <c r="L12" s="15" t="str">
        <f>VLOOKUP(D:D,[3]Sheet1!$A:$G,7,0)</f>
        <v>SWR-White</v>
      </c>
      <c r="M12" s="45"/>
      <c r="N12" s="35">
        <v>9</v>
      </c>
      <c r="O12" s="35">
        <f t="shared" si="1"/>
        <v>3</v>
      </c>
      <c r="P12" s="37" t="s">
        <v>85</v>
      </c>
    </row>
    <row r="13" spans="1:16" ht="15.75" x14ac:dyDescent="0.25">
      <c r="A13" s="8">
        <v>8</v>
      </c>
      <c r="B13" s="22" t="s">
        <v>28</v>
      </c>
      <c r="C13" s="20" t="s">
        <v>21</v>
      </c>
      <c r="D13" s="10">
        <v>11303</v>
      </c>
      <c r="E13" s="11" t="str">
        <f>VLOOKUP(D:D,'[1]Production Plan '!$B$7:$C$426,2,0)</f>
        <v>50mm Dia UPVC Pipe Class-ISO</v>
      </c>
      <c r="F13" s="12" t="str">
        <f>VLOOKUP(D13,'[2]Production Plan '!$B$7:$G$398,6,0)</f>
        <v>White</v>
      </c>
      <c r="G13" s="34">
        <v>150</v>
      </c>
      <c r="H13" s="14">
        <f>VLOOKUP(D:D,'[1]Production Plan '!$B:$F,5,0)</f>
        <v>2.2000000000000002</v>
      </c>
      <c r="I13" s="40"/>
      <c r="J13" s="42"/>
      <c r="K13" s="9">
        <f t="shared" si="0"/>
        <v>330</v>
      </c>
      <c r="L13" s="15" t="str">
        <f>VLOOKUP(D:D,[3]Sheet1!$A:$G,7,0)</f>
        <v>SWR-White</v>
      </c>
      <c r="M13" s="45"/>
      <c r="N13" s="36"/>
      <c r="O13" s="36"/>
      <c r="P13" s="38"/>
    </row>
    <row r="14" spans="1:16" ht="15.75" x14ac:dyDescent="0.25">
      <c r="A14" s="8">
        <v>9</v>
      </c>
      <c r="B14" s="9" t="s">
        <v>30</v>
      </c>
      <c r="C14" s="9" t="s">
        <v>50</v>
      </c>
      <c r="D14" s="10">
        <v>11309</v>
      </c>
      <c r="E14" s="11" t="str">
        <f>VLOOKUP(D:D,'[1]Production Plan '!$B$7:$C$426,2,0)</f>
        <v>110mm Dia UPVC Pipe ISO-2</v>
      </c>
      <c r="F14" s="12" t="str">
        <f>VLOOKUP(D14,'[2]Production Plan '!$B$7:$G$398,6,0)</f>
        <v>White</v>
      </c>
      <c r="G14" s="13">
        <v>200</v>
      </c>
      <c r="H14" s="14">
        <f>VLOOKUP(D:D,'[1]Production Plan '!$B:$F,5,0)</f>
        <v>11</v>
      </c>
      <c r="I14" s="27">
        <v>62</v>
      </c>
      <c r="J14" s="16">
        <f t="shared" si="2"/>
        <v>2.7409372236958444E-2</v>
      </c>
      <c r="K14" s="9">
        <f t="shared" si="0"/>
        <v>2262</v>
      </c>
      <c r="L14" s="15" t="str">
        <f>VLOOKUP(D:D,[3]Sheet1!$A:$G,7,0)</f>
        <v>SWR-White</v>
      </c>
      <c r="M14" s="45"/>
      <c r="N14" s="25">
        <v>12</v>
      </c>
      <c r="O14" s="25">
        <f t="shared" si="1"/>
        <v>0</v>
      </c>
      <c r="P14" s="30"/>
    </row>
    <row r="15" spans="1:16" ht="31.5" x14ac:dyDescent="0.25">
      <c r="A15" s="8">
        <v>10</v>
      </c>
      <c r="B15" s="9" t="s">
        <v>32</v>
      </c>
      <c r="C15" s="9"/>
      <c r="D15" s="10">
        <v>11335</v>
      </c>
      <c r="E15" s="11" t="str">
        <f>VLOOKUP(D:D,'[1]Production Plan '!$B$7:$C$426,2,0)</f>
        <v>160mm Dia Upvc PN-8 Pipe</v>
      </c>
      <c r="F15" s="12" t="str">
        <f>VLOOKUP(D15,'[2]Production Plan '!$B$7:$G$398,6,0)</f>
        <v>White</v>
      </c>
      <c r="G15" s="13">
        <v>0</v>
      </c>
      <c r="H15" s="14">
        <f>VLOOKUP(D:D,'[1]Production Plan '!$B:$F,5,0)</f>
        <v>26.6</v>
      </c>
      <c r="I15" s="13">
        <v>0</v>
      </c>
      <c r="J15" s="16" t="e">
        <f t="shared" si="2"/>
        <v>#DIV/0!</v>
      </c>
      <c r="K15" s="9">
        <f t="shared" si="0"/>
        <v>0</v>
      </c>
      <c r="L15" s="15" t="str">
        <f>VLOOKUP(D:D,[3]Sheet1!$A:$G,7,0)</f>
        <v>STD-White</v>
      </c>
      <c r="M15" s="45"/>
      <c r="N15" s="17">
        <v>0</v>
      </c>
      <c r="O15" s="17">
        <f t="shared" si="1"/>
        <v>12</v>
      </c>
      <c r="P15" s="18" t="s">
        <v>52</v>
      </c>
    </row>
    <row r="16" spans="1:16" ht="31.5" x14ac:dyDescent="0.25">
      <c r="A16" s="8">
        <v>11</v>
      </c>
      <c r="B16" s="9" t="s">
        <v>33</v>
      </c>
      <c r="C16" s="20"/>
      <c r="D16" s="10">
        <v>11325</v>
      </c>
      <c r="E16" s="11" t="str">
        <f>VLOOKUP(D:D,'[1]Production Plan '!$B$7:$C$426,2,0)</f>
        <v>110 mm Dia UPVC Pipe SWR-3</v>
      </c>
      <c r="F16" s="12" t="str">
        <f>VLOOKUP(D16,'[2]Production Plan '!$B$7:$G$398,6,0)</f>
        <v>White</v>
      </c>
      <c r="G16" s="13">
        <v>0</v>
      </c>
      <c r="H16" s="14">
        <f>VLOOKUP(D:D,'[1]Production Plan '!$B:$F,5,0)</f>
        <v>12.9</v>
      </c>
      <c r="I16" s="13">
        <v>0</v>
      </c>
      <c r="J16" s="16" t="e">
        <f t="shared" si="2"/>
        <v>#DIV/0!</v>
      </c>
      <c r="K16" s="9">
        <f t="shared" si="0"/>
        <v>0</v>
      </c>
      <c r="L16" s="15" t="str">
        <f>VLOOKUP(D:D,[3]Sheet1!$A:$G,7,0)</f>
        <v>SWR-White</v>
      </c>
      <c r="M16" s="45"/>
      <c r="N16" s="17">
        <v>0</v>
      </c>
      <c r="O16" s="17">
        <f t="shared" si="1"/>
        <v>12</v>
      </c>
      <c r="P16" s="18" t="s">
        <v>52</v>
      </c>
    </row>
    <row r="17" spans="1:16" ht="63" x14ac:dyDescent="0.25">
      <c r="A17" s="8">
        <v>12</v>
      </c>
      <c r="B17" s="9" t="s">
        <v>34</v>
      </c>
      <c r="C17" s="20" t="s">
        <v>20</v>
      </c>
      <c r="D17" s="10">
        <v>11502</v>
      </c>
      <c r="E17" s="11" t="str">
        <f>VLOOKUP(D:D,'[1]Production Plan '!$B$7:$C$426,2,0)</f>
        <v>0.75 Inch Dia UPVC Thread Pipe</v>
      </c>
      <c r="F17" s="12" t="str">
        <f>VLOOKUP(D17,'[2]Production Plan '!$B$7:$G$398,6,0)</f>
        <v>Green</v>
      </c>
      <c r="G17" s="13">
        <v>1500</v>
      </c>
      <c r="H17" s="14">
        <f>VLOOKUP(D:D,'[1]Production Plan '!$B:$F,5,0)</f>
        <v>1.24</v>
      </c>
      <c r="I17" s="13">
        <v>85</v>
      </c>
      <c r="J17" s="16">
        <f t="shared" si="2"/>
        <v>4.3701799485861184E-2</v>
      </c>
      <c r="K17" s="9">
        <f t="shared" si="0"/>
        <v>1945</v>
      </c>
      <c r="L17" s="15" t="str">
        <f>VLOOKUP(D:D,[3]Sheet1!$A:$G,7,0)</f>
        <v>Thread-Green</v>
      </c>
      <c r="M17" s="45"/>
      <c r="N17" s="17">
        <v>9</v>
      </c>
      <c r="O17" s="17">
        <f t="shared" si="1"/>
        <v>3</v>
      </c>
      <c r="P17" s="18" t="s">
        <v>100</v>
      </c>
    </row>
    <row r="18" spans="1:16" ht="15.75" x14ac:dyDescent="0.25">
      <c r="A18" s="8">
        <v>13</v>
      </c>
      <c r="B18" s="9" t="s">
        <v>35</v>
      </c>
      <c r="C18" s="9" t="s">
        <v>27</v>
      </c>
      <c r="D18" s="10">
        <v>13249</v>
      </c>
      <c r="E18" s="11" t="str">
        <f>VLOOKUP(D:D,'[1]Production Plan '!$B$7:$C$426,2,0)</f>
        <v>4 Inch Dia UPVC Pipe Class-D SPL As Like BS</v>
      </c>
      <c r="F18" s="12" t="str">
        <f>VLOOKUP(D18,'[2]Production Plan '!$B$7:$G$398,6,0)</f>
        <v>Grey</v>
      </c>
      <c r="G18" s="13">
        <v>85</v>
      </c>
      <c r="H18" s="14">
        <f>VLOOKUP(D:D,'[1]Production Plan '!$B:$F,5,0)</f>
        <v>20</v>
      </c>
      <c r="I18" s="39">
        <v>162</v>
      </c>
      <c r="J18" s="41">
        <f>I18/(K18+K20)</f>
        <v>5.2734375E-2</v>
      </c>
      <c r="K18" s="9">
        <f t="shared" si="0"/>
        <v>1862</v>
      </c>
      <c r="L18" s="15" t="e">
        <f>VLOOKUP(D:D,[3]Sheet1!$A:$G,7,0)</f>
        <v>#N/A</v>
      </c>
      <c r="M18" s="45"/>
      <c r="N18" s="35">
        <v>11</v>
      </c>
      <c r="O18" s="35">
        <f t="shared" si="1"/>
        <v>1</v>
      </c>
      <c r="P18" s="37" t="s">
        <v>109</v>
      </c>
    </row>
    <row r="19" spans="1:16" ht="15.75" x14ac:dyDescent="0.25">
      <c r="A19" s="8">
        <v>14</v>
      </c>
      <c r="B19" s="9" t="s">
        <v>35</v>
      </c>
      <c r="C19" s="9" t="s">
        <v>21</v>
      </c>
      <c r="D19" s="10">
        <v>11200</v>
      </c>
      <c r="E19" s="11" t="str">
        <f>VLOOKUP(D:D,'[1]Production Plan '!$B$7:$C$426,2,0)</f>
        <v>5 Inch Dia Upvc Pipe Class-D SPL</v>
      </c>
      <c r="F19" s="12" t="str">
        <f>VLOOKUP(D19,'[2]Production Plan '!$B$7:$G$398,6,0)</f>
        <v>Grey</v>
      </c>
      <c r="G19" s="13">
        <v>0</v>
      </c>
      <c r="H19" s="14">
        <f>VLOOKUP(D:D,'[1]Production Plan '!$B:$F,5,0)</f>
        <v>31</v>
      </c>
      <c r="I19" s="58"/>
      <c r="J19" s="49"/>
      <c r="K19" s="9">
        <f t="shared" si="0"/>
        <v>0</v>
      </c>
      <c r="L19" s="15" t="str">
        <f>VLOOKUP(D:D,[3]Sheet1!$A:$G,7,0)</f>
        <v xml:space="preserve">Three Layer </v>
      </c>
      <c r="M19" s="45"/>
      <c r="N19" s="50"/>
      <c r="O19" s="50"/>
      <c r="P19" s="51"/>
    </row>
    <row r="20" spans="1:16" ht="15.75" x14ac:dyDescent="0.25">
      <c r="A20" s="8">
        <v>15</v>
      </c>
      <c r="B20" s="9" t="s">
        <v>35</v>
      </c>
      <c r="C20" s="9" t="s">
        <v>21</v>
      </c>
      <c r="D20" s="10">
        <v>11399</v>
      </c>
      <c r="E20" s="11" t="str">
        <f>VLOOKUP(D:D,'[1]Production Plan '!$B$7:$C$426,2,0)</f>
        <v>4 Inch Dia Upvc Pipe Class -D SPL Filter</v>
      </c>
      <c r="F20" s="12" t="str">
        <f>VLOOKUP(D20,'[2]Production Plan '!$B$7:$G$398,6,0)</f>
        <v>Grey</v>
      </c>
      <c r="G20" s="13">
        <v>121</v>
      </c>
      <c r="H20" s="14">
        <f>VLOOKUP(D:D,'[1]Production Plan '!$B:$F,5,0)</f>
        <v>10</v>
      </c>
      <c r="I20" s="40"/>
      <c r="J20" s="42"/>
      <c r="K20" s="9">
        <f t="shared" si="0"/>
        <v>1210</v>
      </c>
      <c r="L20" s="15" t="str">
        <f>VLOOKUP(D:D,[3]Sheet1!$A:$G,7,0)</f>
        <v xml:space="preserve">Three Layer </v>
      </c>
      <c r="M20" s="45"/>
      <c r="N20" s="36"/>
      <c r="O20" s="36"/>
      <c r="P20" s="38"/>
    </row>
    <row r="21" spans="1:16" ht="31.5" x14ac:dyDescent="0.25">
      <c r="A21" s="8">
        <v>16</v>
      </c>
      <c r="B21" s="9" t="s">
        <v>36</v>
      </c>
      <c r="C21" s="9" t="s">
        <v>37</v>
      </c>
      <c r="D21" s="10">
        <v>11336</v>
      </c>
      <c r="E21" s="11" t="str">
        <f>VLOOKUP(D:D,'[1]Production Plan '!$B$7:$C$426,2,0)</f>
        <v>160mm Dia UPVC Pipe ISO (R) (Thickness 4.5-4.6 6mm)</v>
      </c>
      <c r="F21" s="12" t="str">
        <f>VLOOKUP(D21,'[2]Production Plan '!$B$7:$G$398,6,0)</f>
        <v>White</v>
      </c>
      <c r="G21" s="13">
        <v>27</v>
      </c>
      <c r="H21" s="14">
        <f>VLOOKUP(D:D,'[1]Production Plan '!$B:$F,5,0)</f>
        <v>25.7</v>
      </c>
      <c r="I21" s="27">
        <v>25</v>
      </c>
      <c r="J21" s="29">
        <f t="shared" ref="J21:J28" si="3">I21/(K21)</f>
        <v>3.4775351231047434E-2</v>
      </c>
      <c r="K21" s="9">
        <f t="shared" si="0"/>
        <v>718.9</v>
      </c>
      <c r="L21" s="15" t="str">
        <f>VLOOKUP(D:D,[3]Sheet1!$A:$G,7,0)</f>
        <v>SWR-White</v>
      </c>
      <c r="M21" s="45"/>
      <c r="N21" s="25">
        <v>3</v>
      </c>
      <c r="O21" s="25">
        <f t="shared" si="1"/>
        <v>9</v>
      </c>
      <c r="P21" s="30" t="s">
        <v>85</v>
      </c>
    </row>
    <row r="22" spans="1:16" ht="15.75" x14ac:dyDescent="0.25">
      <c r="A22" s="8">
        <v>17</v>
      </c>
      <c r="B22" s="9" t="s">
        <v>38</v>
      </c>
      <c r="C22" s="9" t="s">
        <v>89</v>
      </c>
      <c r="D22" s="10">
        <v>12934</v>
      </c>
      <c r="E22" s="11" t="str">
        <f>VLOOKUP(D:D,'[1]Production Plan '!$B$7:$C$426,2,0)</f>
        <v>110 mm Dia Upvc Pipe SWR-3 SPL</v>
      </c>
      <c r="F22" s="12" t="str">
        <f>VLOOKUP(D22,'[2]Production Plan '!$B$7:$G$398,6,0)</f>
        <v>White</v>
      </c>
      <c r="G22" s="13">
        <v>180</v>
      </c>
      <c r="H22" s="14">
        <f>VLOOKUP(D:D,'[1]Production Plan '!$B:$F,5,0)</f>
        <v>12.7</v>
      </c>
      <c r="I22" s="27">
        <v>22</v>
      </c>
      <c r="J22" s="29">
        <f t="shared" si="3"/>
        <v>9.5320623916811086E-3</v>
      </c>
      <c r="K22" s="9">
        <f t="shared" si="0"/>
        <v>2308</v>
      </c>
      <c r="L22" s="15" t="str">
        <f>VLOOKUP(D:D,[3]Sheet1!$A:$G,7,0)</f>
        <v>SWR-White</v>
      </c>
      <c r="M22" s="45"/>
      <c r="N22" s="25">
        <v>12</v>
      </c>
      <c r="O22" s="25">
        <f t="shared" si="1"/>
        <v>0</v>
      </c>
      <c r="P22" s="24"/>
    </row>
    <row r="23" spans="1:16" ht="15.75" x14ac:dyDescent="0.25">
      <c r="A23" s="8">
        <v>18</v>
      </c>
      <c r="B23" s="9" t="s">
        <v>39</v>
      </c>
      <c r="C23" s="9" t="s">
        <v>110</v>
      </c>
      <c r="D23" s="10">
        <v>11130</v>
      </c>
      <c r="E23" s="11" t="str">
        <f>VLOOKUP(D:D,'[1]Production Plan '!$B$7:$C$426,2,0)</f>
        <v>2 Inch Dia UPVC Pipe Class D</v>
      </c>
      <c r="F23" s="12" t="str">
        <f>VLOOKUP(D23,'[2]Production Plan '!$B$7:$G$398,6,0)</f>
        <v>Grey</v>
      </c>
      <c r="G23" s="13">
        <v>65</v>
      </c>
      <c r="H23" s="14">
        <f>VLOOKUP(D:D,'[1]Production Plan '!$B:$F,5,0)</f>
        <v>4.0999999999999996</v>
      </c>
      <c r="I23" s="39">
        <v>41</v>
      </c>
      <c r="J23" s="41">
        <f t="shared" si="3"/>
        <v>0.13333333333333333</v>
      </c>
      <c r="K23" s="9">
        <f t="shared" si="0"/>
        <v>307.5</v>
      </c>
      <c r="L23" s="15" t="str">
        <f>VLOOKUP(D:D,[3]Sheet1!$A:$G,7,0)</f>
        <v>SBS-Grey</v>
      </c>
      <c r="M23" s="45"/>
      <c r="N23" s="35">
        <v>8.5</v>
      </c>
      <c r="O23" s="35">
        <f t="shared" si="1"/>
        <v>3.5</v>
      </c>
      <c r="P23" s="37" t="s">
        <v>85</v>
      </c>
    </row>
    <row r="24" spans="1:16" ht="15.75" x14ac:dyDescent="0.25">
      <c r="A24" s="8">
        <v>19</v>
      </c>
      <c r="B24" s="9" t="s">
        <v>39</v>
      </c>
      <c r="C24" s="9" t="s">
        <v>21</v>
      </c>
      <c r="D24" s="10">
        <v>11304</v>
      </c>
      <c r="E24" s="11" t="str">
        <f>VLOOKUP(D:D,'[1]Production Plan '!$B$7:$C$426,2,0)</f>
        <v>80mm Dia Upvc Pipe SWR-0</v>
      </c>
      <c r="F24" s="12" t="str">
        <f>VLOOKUP(D24,'[2]Production Plan '!$B$7:$G$398,6,0)</f>
        <v>White</v>
      </c>
      <c r="G24" s="13">
        <v>166</v>
      </c>
      <c r="H24" s="14">
        <f>VLOOKUP(D:D,'[1]Production Plan '!$B:$F,5,0)</f>
        <v>5.8</v>
      </c>
      <c r="I24" s="40"/>
      <c r="J24" s="42"/>
      <c r="K24" s="9">
        <f t="shared" si="0"/>
        <v>962.8</v>
      </c>
      <c r="L24" s="15" t="str">
        <f>VLOOKUP(D:D,[3]Sheet1!$A:$G,7,0)</f>
        <v>SWR-White</v>
      </c>
      <c r="M24" s="45"/>
      <c r="N24" s="36"/>
      <c r="O24" s="36"/>
      <c r="P24" s="38"/>
    </row>
    <row r="25" spans="1:16" ht="31.5" x14ac:dyDescent="0.25">
      <c r="A25" s="8">
        <v>20</v>
      </c>
      <c r="B25" s="9" t="s">
        <v>40</v>
      </c>
      <c r="C25" s="9" t="s">
        <v>21</v>
      </c>
      <c r="D25" s="10">
        <v>13397</v>
      </c>
      <c r="E25" s="11" t="str">
        <f>VLOOKUP(D:D,'[1]Production Plan '!$B$7:$C$426,2,0)</f>
        <v>1.5 Inch Dia Upvc Pipe Class D-SP (Br)</v>
      </c>
      <c r="F25" s="12" t="str">
        <f>VLOOKUP(D25,'[2]Production Plan '!$B$7:$G$398,6,0)</f>
        <v>Grey</v>
      </c>
      <c r="G25" s="13">
        <v>0</v>
      </c>
      <c r="H25" s="14">
        <f>VLOOKUP(D:D,'[1]Production Plan '!$B:$F,5,0)</f>
        <v>2.85</v>
      </c>
      <c r="I25" s="13">
        <v>0</v>
      </c>
      <c r="J25" s="29" t="e">
        <f t="shared" si="3"/>
        <v>#DIV/0!</v>
      </c>
      <c r="K25" s="9">
        <f t="shared" si="0"/>
        <v>0</v>
      </c>
      <c r="L25" s="15" t="str">
        <f>VLOOKUP(D:D,[3]Sheet1!$A:$G,7,0)</f>
        <v>STD-Grey</v>
      </c>
      <c r="M25" s="45"/>
      <c r="N25" s="17">
        <v>0</v>
      </c>
      <c r="O25" s="17">
        <f t="shared" si="1"/>
        <v>12</v>
      </c>
      <c r="P25" s="18" t="s">
        <v>52</v>
      </c>
    </row>
    <row r="26" spans="1:16" ht="31.5" x14ac:dyDescent="0.25">
      <c r="A26" s="8">
        <v>21</v>
      </c>
      <c r="B26" s="9" t="s">
        <v>41</v>
      </c>
      <c r="C26" s="9" t="s">
        <v>49</v>
      </c>
      <c r="D26" s="10">
        <v>11503</v>
      </c>
      <c r="E26" s="11" t="str">
        <f>VLOOKUP(D:D,'[1]Production Plan '!$B$7:$C$426,2,0)</f>
        <v>1 Inch Dia UPVC Thread Pipe</v>
      </c>
      <c r="F26" s="12" t="str">
        <f>VLOOKUP(D26,'[2]Production Plan '!$B$7:$G$398,6,0)</f>
        <v>Green</v>
      </c>
      <c r="G26" s="13">
        <v>1400</v>
      </c>
      <c r="H26" s="14">
        <f>VLOOKUP(D:D,'[1]Production Plan '!$B:$F,5,0)</f>
        <v>1.65</v>
      </c>
      <c r="I26" s="13">
        <v>68</v>
      </c>
      <c r="J26" s="29">
        <f t="shared" si="3"/>
        <v>2.8595458368376788E-2</v>
      </c>
      <c r="K26" s="9">
        <f t="shared" si="0"/>
        <v>2378</v>
      </c>
      <c r="L26" s="15" t="str">
        <f>VLOOKUP(D:D,[3]Sheet1!$A:$G,7,0)</f>
        <v>Thread-Green</v>
      </c>
      <c r="M26" s="45"/>
      <c r="N26" s="17">
        <v>12</v>
      </c>
      <c r="O26" s="17">
        <f t="shared" si="1"/>
        <v>0</v>
      </c>
      <c r="P26" s="18" t="s">
        <v>105</v>
      </c>
    </row>
    <row r="27" spans="1:16" ht="15.75" x14ac:dyDescent="0.25">
      <c r="A27" s="8">
        <v>22</v>
      </c>
      <c r="B27" s="9" t="s">
        <v>42</v>
      </c>
      <c r="C27" s="9" t="s">
        <v>87</v>
      </c>
      <c r="D27" s="10">
        <v>12570</v>
      </c>
      <c r="E27" s="11" t="str">
        <f>VLOOKUP(D:D,'[1]Production Plan '!$B$7:$C$426,2,0)</f>
        <v>1 Inc HDPE Coil Pipe-Green</v>
      </c>
      <c r="F27" s="12" t="str">
        <f>VLOOKUP(D27,'[2]Production Plan '!$B$7:$G$398,6,0)</f>
        <v>Green</v>
      </c>
      <c r="G27" s="13">
        <v>27</v>
      </c>
      <c r="H27" s="14">
        <f>VLOOKUP(D:D,'[1]Production Plan '!$B:$F,5,0)</f>
        <v>35</v>
      </c>
      <c r="I27" s="13">
        <v>30</v>
      </c>
      <c r="J27" s="29">
        <f t="shared" si="3"/>
        <v>3.0769230769230771E-2</v>
      </c>
      <c r="K27" s="9">
        <f t="shared" si="0"/>
        <v>975</v>
      </c>
      <c r="L27" s="15" t="str">
        <f>VLOOKUP(D:D,[3]Sheet1!$A:$G,7,0)</f>
        <v>HDPE D/L Green</v>
      </c>
      <c r="M27" s="45"/>
      <c r="N27" s="17">
        <v>12</v>
      </c>
      <c r="O27" s="17">
        <f t="shared" si="1"/>
        <v>0</v>
      </c>
      <c r="P27" s="18"/>
    </row>
    <row r="28" spans="1:16" ht="15.75" x14ac:dyDescent="0.25">
      <c r="A28" s="8">
        <v>23</v>
      </c>
      <c r="B28" s="9" t="s">
        <v>43</v>
      </c>
      <c r="C28" s="9" t="s">
        <v>51</v>
      </c>
      <c r="D28" s="10">
        <v>11317</v>
      </c>
      <c r="E28" s="11" t="str">
        <f>VLOOKUP(D:D,'[1]Production Plan '!$B$7:$C$426,2,0)</f>
        <v>110mm Dia Upvc Pipe SWR-1 Special (White)</v>
      </c>
      <c r="F28" s="12" t="str">
        <f>VLOOKUP(D28,'[2]Production Plan '!$B$7:$G$398,6,0)</f>
        <v>White</v>
      </c>
      <c r="G28" s="13">
        <v>510</v>
      </c>
      <c r="H28" s="14">
        <f>VLOOKUP(D:D,'[1]Production Plan '!$B:$F,5,0)</f>
        <v>10</v>
      </c>
      <c r="I28" s="13">
        <v>177</v>
      </c>
      <c r="J28" s="16">
        <f t="shared" si="3"/>
        <v>3.3541785105173395E-2</v>
      </c>
      <c r="K28" s="9">
        <f t="shared" si="0"/>
        <v>5277</v>
      </c>
      <c r="L28" s="15" t="str">
        <f>VLOOKUP(D:D,[3]Sheet1!$A:$G,7,0)</f>
        <v>SWR-White</v>
      </c>
      <c r="M28" s="45"/>
      <c r="N28" s="17">
        <v>12</v>
      </c>
      <c r="O28" s="17">
        <f t="shared" si="1"/>
        <v>0</v>
      </c>
      <c r="P28" s="18"/>
    </row>
    <row r="29" spans="1:16" ht="15.75" x14ac:dyDescent="0.25">
      <c r="A29" s="8">
        <v>24</v>
      </c>
      <c r="B29" s="9" t="s">
        <v>44</v>
      </c>
      <c r="C29" s="9" t="s">
        <v>87</v>
      </c>
      <c r="D29" s="10">
        <v>13388</v>
      </c>
      <c r="E29" s="11" t="str">
        <f>VLOOKUP(D:D,'[1]Production Plan '!$B$7:$C$426,2,0)</f>
        <v>CPVC Pipe 1''(25mm)X3M-SDR-13.5</v>
      </c>
      <c r="F29" s="12" t="str">
        <f>VLOOKUP(D29,'[2]Production Plan '!$B$7:$G$398,6,0)</f>
        <v>Off White</v>
      </c>
      <c r="G29" s="13">
        <v>0</v>
      </c>
      <c r="H29" s="14">
        <f>VLOOKUP(D:D,'[1]Production Plan '!$B:$F,5,0)</f>
        <v>0.9</v>
      </c>
      <c r="I29" s="39">
        <v>38</v>
      </c>
      <c r="J29" s="41">
        <f>I30/(K30)</f>
        <v>0</v>
      </c>
      <c r="K29" s="9">
        <f t="shared" si="0"/>
        <v>38</v>
      </c>
      <c r="L29" s="15" t="str">
        <f>VLOOKUP(D:D,[3]Sheet1!$A:$G,7,0)</f>
        <v>Com..</v>
      </c>
      <c r="M29" s="45"/>
      <c r="N29" s="35">
        <v>9</v>
      </c>
      <c r="O29" s="35">
        <f>12-N29</f>
        <v>3</v>
      </c>
      <c r="P29" s="37" t="s">
        <v>100</v>
      </c>
    </row>
    <row r="30" spans="1:16" ht="15.75" x14ac:dyDescent="0.25">
      <c r="A30" s="8">
        <v>25</v>
      </c>
      <c r="B30" s="9" t="s">
        <v>44</v>
      </c>
      <c r="C30" s="9" t="s">
        <v>21</v>
      </c>
      <c r="D30" s="10">
        <v>13387</v>
      </c>
      <c r="E30" s="11" t="str">
        <f>VLOOKUP(D:D,'[1]Production Plan '!$B$7:$C$426,2,0)</f>
        <v>CPVC Pipe 3/4''(20mm)X3M-SDR-13.5</v>
      </c>
      <c r="F30" s="12" t="str">
        <f>VLOOKUP(D30,'[2]Production Plan '!$B$7:$G$398,6,0)</f>
        <v>Off White</v>
      </c>
      <c r="G30" s="13">
        <v>840</v>
      </c>
      <c r="H30" s="14">
        <f>VLOOKUP(D:D,'[1]Production Plan '!$B:$F,5,0)</f>
        <v>0.55000000000000004</v>
      </c>
      <c r="I30" s="40"/>
      <c r="J30" s="42"/>
      <c r="K30" s="9">
        <f t="shared" si="0"/>
        <v>462.00000000000006</v>
      </c>
      <c r="L30" s="15" t="str">
        <f>VLOOKUP(D:D,[3]Sheet1!$A:$G,7,0)</f>
        <v>Com..</v>
      </c>
      <c r="M30" s="45"/>
      <c r="N30" s="36"/>
      <c r="O30" s="36"/>
      <c r="P30" s="38"/>
    </row>
    <row r="31" spans="1:16" ht="15.75" x14ac:dyDescent="0.25">
      <c r="A31" s="8"/>
      <c r="B31" s="9"/>
      <c r="C31" s="9"/>
      <c r="D31" s="9"/>
      <c r="E31" s="11"/>
      <c r="F31" s="12"/>
      <c r="G31" s="7"/>
      <c r="H31" s="14"/>
      <c r="I31" s="21">
        <f>SUM(I6:I30)</f>
        <v>1087</v>
      </c>
      <c r="J31" s="21"/>
      <c r="K31" s="21">
        <f>SUM(K6:K30)</f>
        <v>29311.7</v>
      </c>
      <c r="L31" s="15"/>
      <c r="M31" s="45"/>
      <c r="N31" s="17"/>
      <c r="O31" s="17"/>
      <c r="P31" s="9"/>
    </row>
  </sheetData>
  <mergeCells count="29">
    <mergeCell ref="N29:N30"/>
    <mergeCell ref="O29:O30"/>
    <mergeCell ref="P29:P30"/>
    <mergeCell ref="N18:N20"/>
    <mergeCell ref="O18:O20"/>
    <mergeCell ref="P18:P20"/>
    <mergeCell ref="I23:I24"/>
    <mergeCell ref="J23:J24"/>
    <mergeCell ref="N23:N24"/>
    <mergeCell ref="O23:O24"/>
    <mergeCell ref="P23:P24"/>
    <mergeCell ref="N7:N8"/>
    <mergeCell ref="O7:O8"/>
    <mergeCell ref="P7:P8"/>
    <mergeCell ref="I12:I13"/>
    <mergeCell ref="J12:J13"/>
    <mergeCell ref="N12:N13"/>
    <mergeCell ref="O12:O13"/>
    <mergeCell ref="P12:P13"/>
    <mergeCell ref="F1:J1"/>
    <mergeCell ref="F2:J2"/>
    <mergeCell ref="F3:L3"/>
    <mergeCell ref="M6:M31"/>
    <mergeCell ref="I7:I8"/>
    <mergeCell ref="J7:J8"/>
    <mergeCell ref="I18:I20"/>
    <mergeCell ref="J18:J20"/>
    <mergeCell ref="I29:I30"/>
    <mergeCell ref="J29:J30"/>
  </mergeCells>
  <conditionalFormatting sqref="E30">
    <cfRule type="duplicateValues" dxfId="24" priority="2"/>
  </conditionalFormatting>
  <conditionalFormatting sqref="E31 E6:E28">
    <cfRule type="duplicateValues" dxfId="23" priority="3"/>
  </conditionalFormatting>
  <conditionalFormatting sqref="E29">
    <cfRule type="duplicateValues" dxfId="22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P30"/>
  <sheetViews>
    <sheetView topLeftCell="A7" workbookViewId="0">
      <selection activeCell="I7" sqref="I7:I9"/>
    </sheetView>
  </sheetViews>
  <sheetFormatPr defaultRowHeight="15" x14ac:dyDescent="0.25"/>
  <cols>
    <col min="1" max="10" width="9.140625" style="84"/>
    <col min="11" max="11" width="9.5703125" style="84" bestFit="1" customWidth="1"/>
    <col min="12" max="16" width="9.140625" style="84"/>
  </cols>
  <sheetData>
    <row r="1" spans="1:16" ht="15.75" x14ac:dyDescent="0.25">
      <c r="A1" s="3"/>
      <c r="B1" s="3"/>
      <c r="C1" s="3"/>
      <c r="D1" s="3"/>
      <c r="E1" s="3"/>
      <c r="F1" s="57" t="s">
        <v>0</v>
      </c>
      <c r="G1" s="57"/>
      <c r="H1" s="57"/>
      <c r="I1" s="57"/>
      <c r="J1" s="57"/>
      <c r="K1" s="3"/>
      <c r="L1" s="3"/>
      <c r="M1" s="3"/>
      <c r="N1" s="3"/>
      <c r="O1" s="3"/>
      <c r="P1" s="3"/>
    </row>
    <row r="2" spans="1:16" ht="15.75" x14ac:dyDescent="0.25">
      <c r="A2" s="3"/>
      <c r="B2" s="63"/>
      <c r="C2" s="64"/>
      <c r="D2" s="3"/>
      <c r="E2" s="3"/>
      <c r="F2" s="57" t="s">
        <v>1</v>
      </c>
      <c r="G2" s="57"/>
      <c r="H2" s="57"/>
      <c r="I2" s="57"/>
      <c r="J2" s="57"/>
      <c r="K2" s="3"/>
      <c r="L2" s="3"/>
      <c r="M2" s="3"/>
      <c r="N2" s="3"/>
      <c r="O2" s="3"/>
      <c r="P2" s="3"/>
    </row>
    <row r="3" spans="1:16" ht="15.75" x14ac:dyDescent="0.25">
      <c r="A3" s="3"/>
      <c r="B3" s="3"/>
      <c r="C3" s="3"/>
      <c r="D3" s="3"/>
      <c r="E3" s="3"/>
      <c r="F3" s="44" t="s">
        <v>2</v>
      </c>
      <c r="G3" s="44"/>
      <c r="H3" s="44"/>
      <c r="I3" s="44"/>
      <c r="J3" s="44"/>
      <c r="K3" s="44"/>
      <c r="L3" s="44"/>
      <c r="M3" s="3"/>
      <c r="N3" s="3"/>
      <c r="O3" s="3"/>
      <c r="P3" s="3"/>
    </row>
    <row r="4" spans="1:16" ht="47.25" x14ac:dyDescent="0.25">
      <c r="A4" s="3"/>
      <c r="B4" s="3"/>
      <c r="C4" s="3"/>
      <c r="D4" s="3"/>
      <c r="E4" s="65" t="s">
        <v>111</v>
      </c>
      <c r="F4" s="3"/>
      <c r="G4" s="3"/>
      <c r="H4" s="3"/>
      <c r="I4" s="3"/>
      <c r="J4" s="3"/>
      <c r="K4" s="3"/>
      <c r="L4" s="63"/>
      <c r="M4" s="3"/>
      <c r="N4" s="3"/>
      <c r="O4" s="3"/>
      <c r="P4" s="66"/>
    </row>
    <row r="5" spans="1:16" ht="78.75" x14ac:dyDescent="0.25">
      <c r="A5" s="7" t="s">
        <v>3</v>
      </c>
      <c r="B5" s="7" t="s">
        <v>4</v>
      </c>
      <c r="C5" s="7" t="s">
        <v>5</v>
      </c>
      <c r="D5" s="7" t="s">
        <v>6</v>
      </c>
      <c r="E5" s="7" t="s">
        <v>7</v>
      </c>
      <c r="F5" s="7" t="s">
        <v>8</v>
      </c>
      <c r="G5" s="7" t="s">
        <v>9</v>
      </c>
      <c r="H5" s="7" t="s">
        <v>10</v>
      </c>
      <c r="I5" s="7" t="s">
        <v>11</v>
      </c>
      <c r="J5" s="7" t="s">
        <v>12</v>
      </c>
      <c r="K5" s="7" t="s">
        <v>13</v>
      </c>
      <c r="L5" s="7" t="s">
        <v>14</v>
      </c>
      <c r="M5" s="7" t="s">
        <v>15</v>
      </c>
      <c r="N5" s="7" t="s">
        <v>16</v>
      </c>
      <c r="O5" s="7" t="s">
        <v>17</v>
      </c>
      <c r="P5" s="7" t="s">
        <v>18</v>
      </c>
    </row>
    <row r="6" spans="1:16" ht="78.75" x14ac:dyDescent="0.25">
      <c r="A6" s="8">
        <v>1</v>
      </c>
      <c r="B6" s="7" t="s">
        <v>19</v>
      </c>
      <c r="C6" s="7"/>
      <c r="D6" s="10">
        <v>11141</v>
      </c>
      <c r="E6" s="67" t="str">
        <f>VLOOKUP(D:D,'[1]Production Plan '!$B$7:$C$426,2,0)</f>
        <v>4 Inch Upvc Pipe Star (Gray 20 Ft )</v>
      </c>
      <c r="F6" s="68" t="str">
        <f>VLOOKUP(D6,'[2]Production Plan '!$B$7:$G$398,6,0)</f>
        <v>Grey</v>
      </c>
      <c r="G6" s="69">
        <v>0</v>
      </c>
      <c r="H6" s="70">
        <f>VLOOKUP(D:D,'[1]Production Plan '!$B:$F,5,0)</f>
        <v>12.5</v>
      </c>
      <c r="I6" s="69">
        <v>0</v>
      </c>
      <c r="J6" s="71" t="e">
        <f>I6/(K6)</f>
        <v>#DIV/0!</v>
      </c>
      <c r="K6" s="7">
        <f>G6*H6+I6</f>
        <v>0</v>
      </c>
      <c r="L6" s="72" t="str">
        <f>VLOOKUP(D:D,[3]Sheet1!$A:$G,7,0)</f>
        <v>SWR-Grey</v>
      </c>
      <c r="M6" s="45">
        <f>I30/K30</f>
        <v>6.7184538979285113E-2</v>
      </c>
      <c r="N6" s="17">
        <v>0</v>
      </c>
      <c r="O6" s="17">
        <f>12-N6</f>
        <v>12</v>
      </c>
      <c r="P6" s="18" t="s">
        <v>52</v>
      </c>
    </row>
    <row r="7" spans="1:16" ht="78.75" x14ac:dyDescent="0.25">
      <c r="A7" s="8">
        <v>2</v>
      </c>
      <c r="B7" s="7" t="s">
        <v>22</v>
      </c>
      <c r="C7" s="7" t="s">
        <v>104</v>
      </c>
      <c r="D7" s="10">
        <v>12503</v>
      </c>
      <c r="E7" s="67" t="str">
        <f>VLOOKUP(D:D,'[1]Production Plan '!$B$7:$C$426,2,0)</f>
        <v>12 Inch Dia Upvc Pipe Class-D</v>
      </c>
      <c r="F7" s="68" t="str">
        <f>VLOOKUP(D7,'[2]Production Plan '!$B$7:$G$398,6,0)</f>
        <v>Grey</v>
      </c>
      <c r="G7" s="69">
        <v>9</v>
      </c>
      <c r="H7" s="70">
        <f>VLOOKUP(D:D,'[1]Production Plan '!$B:$F,5,0)</f>
        <v>160</v>
      </c>
      <c r="I7" s="37">
        <v>0</v>
      </c>
      <c r="J7" s="73">
        <f>I7/(K7+K9)</f>
        <v>0</v>
      </c>
      <c r="K7" s="7">
        <f t="shared" ref="K7:K29" si="0">G7*H7+I7</f>
        <v>1440</v>
      </c>
      <c r="L7" s="72" t="str">
        <f>VLOOKUP(D:D,[3]Sheet1!$A:$G,7,0)</f>
        <v>SBS-Grey</v>
      </c>
      <c r="M7" s="45"/>
      <c r="N7" s="35">
        <v>1</v>
      </c>
      <c r="O7" s="35">
        <f t="shared" ref="O7:O28" si="1">12-N7</f>
        <v>11</v>
      </c>
      <c r="P7" s="37" t="s">
        <v>55</v>
      </c>
    </row>
    <row r="8" spans="1:16" ht="78.75" x14ac:dyDescent="0.25">
      <c r="A8" s="8">
        <v>3</v>
      </c>
      <c r="B8" s="7" t="s">
        <v>22</v>
      </c>
      <c r="C8" s="7" t="s">
        <v>21</v>
      </c>
      <c r="D8" s="10">
        <v>11348</v>
      </c>
      <c r="E8" s="67" t="str">
        <f>VLOOKUP(D:D,'[1]Production Plan '!$B$7:$C$426,2,0)</f>
        <v>200mm Upvc SWR Pipe (PN-8)</v>
      </c>
      <c r="F8" s="68" t="str">
        <f>VLOOKUP(D8,'[2]Production Plan '!$B$7:$G$398,6,0)</f>
        <v>White</v>
      </c>
      <c r="G8" s="69">
        <v>5</v>
      </c>
      <c r="H8" s="70">
        <f>VLOOKUP(D:D,'[1]Production Plan '!$B:$F,5,0)</f>
        <v>39.200000000000003</v>
      </c>
      <c r="I8" s="51"/>
      <c r="J8" s="74"/>
      <c r="K8" s="7">
        <f t="shared" si="0"/>
        <v>196</v>
      </c>
      <c r="L8" s="72"/>
      <c r="M8" s="45"/>
      <c r="N8" s="50"/>
      <c r="O8" s="50"/>
      <c r="P8" s="51"/>
    </row>
    <row r="9" spans="1:16" ht="78.75" x14ac:dyDescent="0.25">
      <c r="A9" s="8">
        <v>4</v>
      </c>
      <c r="B9" s="7" t="s">
        <v>22</v>
      </c>
      <c r="C9" s="7" t="s">
        <v>21</v>
      </c>
      <c r="D9" s="10"/>
      <c r="E9" s="60" t="s">
        <v>112</v>
      </c>
      <c r="F9" s="68" t="s">
        <v>113</v>
      </c>
      <c r="G9" s="69">
        <v>2</v>
      </c>
      <c r="H9" s="70">
        <v>80</v>
      </c>
      <c r="I9" s="38"/>
      <c r="J9" s="75"/>
      <c r="K9" s="7">
        <f t="shared" si="0"/>
        <v>160</v>
      </c>
      <c r="L9" s="72" t="s">
        <v>114</v>
      </c>
      <c r="M9" s="45"/>
      <c r="N9" s="36"/>
      <c r="O9" s="36"/>
      <c r="P9" s="38"/>
    </row>
    <row r="10" spans="1:16" ht="78.75" x14ac:dyDescent="0.25">
      <c r="A10" s="8">
        <v>5</v>
      </c>
      <c r="B10" s="7" t="s">
        <v>24</v>
      </c>
      <c r="C10" s="18"/>
      <c r="D10" s="10">
        <v>11105</v>
      </c>
      <c r="E10" s="67" t="str">
        <f>VLOOKUP(D:D,'[1]Production Plan '!$B$7:$C$426,2,0)</f>
        <v>1 Inch Dia Upvc Pipe Class-D</v>
      </c>
      <c r="F10" s="68" t="str">
        <f>VLOOKUP(D10,'[2]Production Plan '!$B$7:$G$398,6,0)</f>
        <v>Grey</v>
      </c>
      <c r="G10" s="69">
        <v>0</v>
      </c>
      <c r="H10" s="70">
        <f>VLOOKUP(D:D,'[1]Production Plan '!$B:$F,5,0)</f>
        <v>0.85</v>
      </c>
      <c r="I10" s="69">
        <v>0</v>
      </c>
      <c r="J10" s="71" t="e">
        <f t="shared" ref="J10:J18" si="2">I10/(K10)</f>
        <v>#DIV/0!</v>
      </c>
      <c r="K10" s="7">
        <f t="shared" si="0"/>
        <v>0</v>
      </c>
      <c r="L10" s="72" t="str">
        <f>VLOOKUP(D:D,[3]Sheet1!$A:$G,7,0)</f>
        <v>STD-Grey</v>
      </c>
      <c r="M10" s="45"/>
      <c r="N10" s="17">
        <v>0</v>
      </c>
      <c r="O10" s="17">
        <f t="shared" si="1"/>
        <v>12</v>
      </c>
      <c r="P10" s="18" t="s">
        <v>52</v>
      </c>
    </row>
    <row r="11" spans="1:16" ht="78.75" x14ac:dyDescent="0.25">
      <c r="A11" s="8">
        <v>6</v>
      </c>
      <c r="B11" s="7" t="s">
        <v>25</v>
      </c>
      <c r="C11" s="18" t="s">
        <v>53</v>
      </c>
      <c r="D11" s="10">
        <v>11506</v>
      </c>
      <c r="E11" s="67" t="str">
        <f>VLOOKUP(D:D,'[1]Production Plan '!$B$7:$C$426,2,0)</f>
        <v>2 Inch Dia UPVC Thread Pipe</v>
      </c>
      <c r="F11" s="68" t="str">
        <f>VLOOKUP(D11,'[2]Production Plan '!$B$7:$G$398,6,0)</f>
        <v>Green</v>
      </c>
      <c r="G11" s="69">
        <v>485</v>
      </c>
      <c r="H11" s="70">
        <f>VLOOKUP(D:D,'[1]Production Plan '!$B:$F,5,0)</f>
        <v>3.9</v>
      </c>
      <c r="I11" s="76">
        <v>0</v>
      </c>
      <c r="J11" s="71">
        <f t="shared" si="2"/>
        <v>0</v>
      </c>
      <c r="K11" s="7">
        <f t="shared" si="0"/>
        <v>1891.5</v>
      </c>
      <c r="L11" s="72" t="str">
        <f>VLOOKUP(D:D,[3]Sheet1!$A:$G,7,0)</f>
        <v>Thread-Green</v>
      </c>
      <c r="M11" s="45"/>
      <c r="N11" s="25">
        <v>12</v>
      </c>
      <c r="O11" s="25">
        <f t="shared" si="1"/>
        <v>0</v>
      </c>
      <c r="P11" s="30"/>
    </row>
    <row r="12" spans="1:16" ht="110.25" x14ac:dyDescent="0.25">
      <c r="A12" s="8">
        <v>7</v>
      </c>
      <c r="B12" s="77" t="s">
        <v>26</v>
      </c>
      <c r="C12" s="7" t="s">
        <v>57</v>
      </c>
      <c r="D12" s="10">
        <v>11108</v>
      </c>
      <c r="E12" s="67" t="str">
        <f>VLOOKUP(D:D,'[1]Production Plan '!$B$7:$C$426,2,0)</f>
        <v>1.5 Inch Dia UPVC Pipe Class-Economy</v>
      </c>
      <c r="F12" s="68" t="str">
        <f>VLOOKUP(D12,'[2]Production Plan '!$B$7:$G$398,6,0)</f>
        <v>White</v>
      </c>
      <c r="G12" s="69">
        <v>350</v>
      </c>
      <c r="H12" s="70">
        <f>VLOOKUP(D:D,'[1]Production Plan '!$B:$F,5,0)</f>
        <v>1.8</v>
      </c>
      <c r="I12" s="76">
        <v>227</v>
      </c>
      <c r="J12" s="71">
        <f t="shared" si="2"/>
        <v>0.26487747957992996</v>
      </c>
      <c r="K12" s="7">
        <f t="shared" si="0"/>
        <v>857</v>
      </c>
      <c r="L12" s="72" t="str">
        <f>VLOOKUP(D:D,[3]Sheet1!$A:$G,7,0)</f>
        <v>Economy- White</v>
      </c>
      <c r="M12" s="45"/>
      <c r="N12" s="25">
        <v>8</v>
      </c>
      <c r="O12" s="25">
        <f t="shared" si="1"/>
        <v>4</v>
      </c>
      <c r="P12" s="30" t="s">
        <v>48</v>
      </c>
    </row>
    <row r="13" spans="1:16" ht="94.5" x14ac:dyDescent="0.25">
      <c r="A13" s="8">
        <v>8</v>
      </c>
      <c r="B13" s="77" t="s">
        <v>28</v>
      </c>
      <c r="C13" s="78" t="s">
        <v>21</v>
      </c>
      <c r="D13" s="10">
        <v>11302</v>
      </c>
      <c r="E13" s="67" t="str">
        <f>VLOOKUP(D:D,'[1]Production Plan '!$B$7:$C$426,2,0)</f>
        <v>40 mm Dia UPVC Pipe Class ISO</v>
      </c>
      <c r="F13" s="68" t="str">
        <f>VLOOKUP(D13,'[2]Production Plan '!$B$7:$G$398,6,0)</f>
        <v>White</v>
      </c>
      <c r="G13" s="79">
        <v>0</v>
      </c>
      <c r="H13" s="70">
        <f>VLOOKUP(D:D,'[1]Production Plan '!$B:$F,5,0)</f>
        <v>1.3</v>
      </c>
      <c r="I13" s="80">
        <v>61</v>
      </c>
      <c r="J13" s="73">
        <f t="shared" si="2"/>
        <v>1</v>
      </c>
      <c r="K13" s="7">
        <f t="shared" si="0"/>
        <v>61</v>
      </c>
      <c r="L13" s="72" t="str">
        <f>VLOOKUP(D:D,[3]Sheet1!$A:$G,7,0)</f>
        <v>SWR-White</v>
      </c>
      <c r="M13" s="45"/>
      <c r="N13" s="35">
        <v>12</v>
      </c>
      <c r="O13" s="35">
        <f t="shared" si="1"/>
        <v>0</v>
      </c>
      <c r="P13" s="37"/>
    </row>
    <row r="14" spans="1:16" ht="94.5" x14ac:dyDescent="0.25">
      <c r="A14" s="8">
        <v>9</v>
      </c>
      <c r="B14" s="77" t="s">
        <v>28</v>
      </c>
      <c r="C14" s="78" t="s">
        <v>21</v>
      </c>
      <c r="D14" s="10">
        <v>11303</v>
      </c>
      <c r="E14" s="67" t="str">
        <f>VLOOKUP(D:D,'[1]Production Plan '!$B$7:$C$426,2,0)</f>
        <v>50mm Dia UPVC Pipe Class-ISO</v>
      </c>
      <c r="F14" s="68" t="str">
        <f>VLOOKUP(D14,'[2]Production Plan '!$B$7:$G$398,6,0)</f>
        <v>White</v>
      </c>
      <c r="G14" s="79">
        <v>390</v>
      </c>
      <c r="H14" s="70">
        <f>VLOOKUP(D:D,'[1]Production Plan '!$B:$F,5,0)</f>
        <v>2.2000000000000002</v>
      </c>
      <c r="I14" s="81"/>
      <c r="J14" s="75"/>
      <c r="K14" s="7">
        <f t="shared" si="0"/>
        <v>858.00000000000011</v>
      </c>
      <c r="L14" s="72" t="str">
        <f>VLOOKUP(D:D,[3]Sheet1!$A:$G,7,0)</f>
        <v>SWR-White</v>
      </c>
      <c r="M14" s="45"/>
      <c r="N14" s="36"/>
      <c r="O14" s="36"/>
      <c r="P14" s="38"/>
    </row>
    <row r="15" spans="1:16" ht="126" x14ac:dyDescent="0.25">
      <c r="A15" s="8">
        <v>10</v>
      </c>
      <c r="B15" s="7" t="s">
        <v>30</v>
      </c>
      <c r="C15" s="7" t="s">
        <v>77</v>
      </c>
      <c r="D15" s="10">
        <v>11309</v>
      </c>
      <c r="E15" s="67" t="str">
        <f>VLOOKUP(D:D,'[1]Production Plan '!$B$7:$C$426,2,0)</f>
        <v>110mm Dia UPVC Pipe ISO-2</v>
      </c>
      <c r="F15" s="68" t="str">
        <f>VLOOKUP(D15,'[2]Production Plan '!$B$7:$G$398,6,0)</f>
        <v>White</v>
      </c>
      <c r="G15" s="69">
        <v>162</v>
      </c>
      <c r="H15" s="70">
        <f>VLOOKUP(D:D,'[1]Production Plan '!$B:$F,5,0)</f>
        <v>11</v>
      </c>
      <c r="I15" s="76">
        <v>140</v>
      </c>
      <c r="J15" s="71">
        <f t="shared" si="2"/>
        <v>7.2840790842872011E-2</v>
      </c>
      <c r="K15" s="7">
        <f t="shared" si="0"/>
        <v>1922</v>
      </c>
      <c r="L15" s="72" t="str">
        <f>VLOOKUP(D:D,[3]Sheet1!$A:$G,7,0)</f>
        <v>SWR-White</v>
      </c>
      <c r="M15" s="45"/>
      <c r="N15" s="25">
        <v>9.5</v>
      </c>
      <c r="O15" s="25">
        <f t="shared" si="1"/>
        <v>2.5</v>
      </c>
      <c r="P15" s="30" t="s">
        <v>115</v>
      </c>
    </row>
    <row r="16" spans="1:16" ht="63" x14ac:dyDescent="0.25">
      <c r="A16" s="8">
        <v>11</v>
      </c>
      <c r="B16" s="7" t="s">
        <v>32</v>
      </c>
      <c r="C16" s="7"/>
      <c r="D16" s="10">
        <v>11335</v>
      </c>
      <c r="E16" s="67" t="str">
        <f>VLOOKUP(D:D,'[1]Production Plan '!$B$7:$C$426,2,0)</f>
        <v>160mm Dia Upvc PN-8 Pipe</v>
      </c>
      <c r="F16" s="68" t="str">
        <f>VLOOKUP(D16,'[2]Production Plan '!$B$7:$G$398,6,0)</f>
        <v>White</v>
      </c>
      <c r="G16" s="69">
        <v>0</v>
      </c>
      <c r="H16" s="70">
        <f>VLOOKUP(D:D,'[1]Production Plan '!$B:$F,5,0)</f>
        <v>26.6</v>
      </c>
      <c r="I16" s="69">
        <v>0</v>
      </c>
      <c r="J16" s="71" t="e">
        <f t="shared" si="2"/>
        <v>#DIV/0!</v>
      </c>
      <c r="K16" s="7">
        <f t="shared" si="0"/>
        <v>0</v>
      </c>
      <c r="L16" s="72" t="str">
        <f>VLOOKUP(D:D,[3]Sheet1!$A:$G,7,0)</f>
        <v>STD-White</v>
      </c>
      <c r="M16" s="45"/>
      <c r="N16" s="17">
        <v>0</v>
      </c>
      <c r="O16" s="17">
        <f t="shared" si="1"/>
        <v>12</v>
      </c>
      <c r="P16" s="18" t="s">
        <v>52</v>
      </c>
    </row>
    <row r="17" spans="1:16" ht="78.75" x14ac:dyDescent="0.25">
      <c r="A17" s="8">
        <v>12</v>
      </c>
      <c r="B17" s="7" t="s">
        <v>33</v>
      </c>
      <c r="C17" s="78"/>
      <c r="D17" s="10">
        <v>11325</v>
      </c>
      <c r="E17" s="67" t="str">
        <f>VLOOKUP(D:D,'[1]Production Plan '!$B$7:$C$426,2,0)</f>
        <v>110 mm Dia UPVC Pipe SWR-3</v>
      </c>
      <c r="F17" s="68" t="str">
        <f>VLOOKUP(D17,'[2]Production Plan '!$B$7:$G$398,6,0)</f>
        <v>White</v>
      </c>
      <c r="G17" s="69">
        <v>0</v>
      </c>
      <c r="H17" s="70">
        <f>VLOOKUP(D:D,'[1]Production Plan '!$B:$F,5,0)</f>
        <v>12.9</v>
      </c>
      <c r="I17" s="69">
        <v>0</v>
      </c>
      <c r="J17" s="71" t="e">
        <f t="shared" si="2"/>
        <v>#DIV/0!</v>
      </c>
      <c r="K17" s="7">
        <f t="shared" si="0"/>
        <v>0</v>
      </c>
      <c r="L17" s="72" t="str">
        <f>VLOOKUP(D:D,[3]Sheet1!$A:$G,7,0)</f>
        <v>SWR-White</v>
      </c>
      <c r="M17" s="45"/>
      <c r="N17" s="17">
        <v>0</v>
      </c>
      <c r="O17" s="17">
        <f t="shared" si="1"/>
        <v>12</v>
      </c>
      <c r="P17" s="18" t="s">
        <v>52</v>
      </c>
    </row>
    <row r="18" spans="1:16" ht="78.75" x14ac:dyDescent="0.25">
      <c r="A18" s="8">
        <v>13</v>
      </c>
      <c r="B18" s="7" t="s">
        <v>34</v>
      </c>
      <c r="C18" s="78" t="s">
        <v>53</v>
      </c>
      <c r="D18" s="10">
        <v>11502</v>
      </c>
      <c r="E18" s="67" t="str">
        <f>VLOOKUP(D:D,'[1]Production Plan '!$B$7:$C$426,2,0)</f>
        <v>0.75 Inch Dia UPVC Thread Pipe</v>
      </c>
      <c r="F18" s="68" t="str">
        <f>VLOOKUP(D18,'[2]Production Plan '!$B$7:$G$398,6,0)</f>
        <v>Green</v>
      </c>
      <c r="G18" s="69">
        <v>420</v>
      </c>
      <c r="H18" s="70">
        <f>VLOOKUP(D:D,'[1]Production Plan '!$B:$F,5,0)</f>
        <v>1.24</v>
      </c>
      <c r="I18" s="69">
        <v>20</v>
      </c>
      <c r="J18" s="71">
        <f t="shared" si="2"/>
        <v>3.6982248520710061E-2</v>
      </c>
      <c r="K18" s="7">
        <f t="shared" si="0"/>
        <v>540.79999999999995</v>
      </c>
      <c r="L18" s="72" t="str">
        <f>VLOOKUP(D:D,[3]Sheet1!$A:$G,7,0)</f>
        <v>Thread-Green</v>
      </c>
      <c r="M18" s="45"/>
      <c r="N18" s="17">
        <v>1</v>
      </c>
      <c r="O18" s="17">
        <f t="shared" si="1"/>
        <v>11</v>
      </c>
      <c r="P18" s="18" t="s">
        <v>116</v>
      </c>
    </row>
    <row r="19" spans="1:16" ht="110.25" x14ac:dyDescent="0.25">
      <c r="A19" s="8">
        <v>14</v>
      </c>
      <c r="B19" s="7" t="s">
        <v>35</v>
      </c>
      <c r="C19" s="7" t="s">
        <v>62</v>
      </c>
      <c r="D19" s="10">
        <v>13249</v>
      </c>
      <c r="E19" s="67" t="str">
        <f>VLOOKUP(D:D,'[1]Production Plan '!$B$7:$C$426,2,0)</f>
        <v>4 Inch Dia UPVC Pipe Class-D SPL As Like BS</v>
      </c>
      <c r="F19" s="68" t="str">
        <f>VLOOKUP(D19,'[2]Production Plan '!$B$7:$G$398,6,0)</f>
        <v>Grey</v>
      </c>
      <c r="G19" s="69">
        <v>149</v>
      </c>
      <c r="H19" s="70">
        <f>VLOOKUP(D:D,'[1]Production Plan '!$B:$F,5,0)</f>
        <v>20</v>
      </c>
      <c r="I19" s="80">
        <v>195</v>
      </c>
      <c r="J19" s="73">
        <f>I19/(K19+K20)</f>
        <v>5.8823529411764705E-2</v>
      </c>
      <c r="K19" s="7">
        <f t="shared" si="0"/>
        <v>3175</v>
      </c>
      <c r="L19" s="72" t="s">
        <v>117</v>
      </c>
      <c r="M19" s="45"/>
      <c r="N19" s="35">
        <v>10</v>
      </c>
      <c r="O19" s="35">
        <f t="shared" si="1"/>
        <v>2</v>
      </c>
      <c r="P19" s="37" t="s">
        <v>105</v>
      </c>
    </row>
    <row r="20" spans="1:16" ht="110.25" x14ac:dyDescent="0.25">
      <c r="A20" s="8">
        <v>15</v>
      </c>
      <c r="B20" s="7" t="s">
        <v>35</v>
      </c>
      <c r="C20" s="7" t="s">
        <v>21</v>
      </c>
      <c r="D20" s="10">
        <v>11399</v>
      </c>
      <c r="E20" s="67" t="str">
        <f>VLOOKUP(D:D,'[1]Production Plan '!$B$7:$C$426,2,0)</f>
        <v>4 Inch Dia Upvc Pipe Class -D SPL Filter</v>
      </c>
      <c r="F20" s="68" t="str">
        <f>VLOOKUP(D20,'[2]Production Plan '!$B$7:$G$398,6,0)</f>
        <v>Grey</v>
      </c>
      <c r="G20" s="69">
        <v>14</v>
      </c>
      <c r="H20" s="70">
        <f>VLOOKUP(D:D,'[1]Production Plan '!$B:$F,5,0)</f>
        <v>10</v>
      </c>
      <c r="I20" s="81"/>
      <c r="J20" s="75"/>
      <c r="K20" s="7">
        <f t="shared" si="0"/>
        <v>140</v>
      </c>
      <c r="L20" s="72" t="str">
        <f>VLOOKUP(D:D,[3]Sheet1!$A:$G,7,0)</f>
        <v xml:space="preserve">Three Layer </v>
      </c>
      <c r="M20" s="45"/>
      <c r="N20" s="36"/>
      <c r="O20" s="36"/>
      <c r="P20" s="38"/>
    </row>
    <row r="21" spans="1:16" ht="78.75" x14ac:dyDescent="0.25">
      <c r="A21" s="8">
        <v>16</v>
      </c>
      <c r="B21" s="7" t="s">
        <v>36</v>
      </c>
      <c r="C21" s="7" t="s">
        <v>31</v>
      </c>
      <c r="D21" s="10">
        <v>11346</v>
      </c>
      <c r="E21" s="67" t="str">
        <f>VLOOKUP(D:D,'[1]Production Plan '!$B$7:$C$426,2,0)</f>
        <v>200 MM Dia UPVC Pipe SWR-2</v>
      </c>
      <c r="F21" s="68" t="str">
        <f>VLOOKUP(D21,'[2]Production Plan '!$B$7:$G$398,6,0)</f>
        <v>White</v>
      </c>
      <c r="G21" s="69">
        <v>16</v>
      </c>
      <c r="H21" s="70">
        <f>VLOOKUP(D:D,'[1]Production Plan '!$B:$F,5,0)</f>
        <v>35.200000000000003</v>
      </c>
      <c r="I21" s="76">
        <v>352</v>
      </c>
      <c r="J21" s="82">
        <f t="shared" ref="J21:J29" si="3">I21/(K21)</f>
        <v>0.38461538461538458</v>
      </c>
      <c r="K21" s="7">
        <f t="shared" si="0"/>
        <v>915.2</v>
      </c>
      <c r="L21" s="72" t="str">
        <f>VLOOKUP(D:D,[3]Sheet1!$A:$G,7,0)</f>
        <v>SWR-White</v>
      </c>
      <c r="M21" s="45"/>
      <c r="N21" s="25">
        <v>7</v>
      </c>
      <c r="O21" s="25">
        <f t="shared" si="1"/>
        <v>5</v>
      </c>
      <c r="P21" s="30" t="s">
        <v>118</v>
      </c>
    </row>
    <row r="22" spans="1:16" ht="94.5" x14ac:dyDescent="0.25">
      <c r="A22" s="8">
        <v>17</v>
      </c>
      <c r="B22" s="7" t="s">
        <v>38</v>
      </c>
      <c r="C22" s="7" t="s">
        <v>58</v>
      </c>
      <c r="D22" s="10">
        <v>12934</v>
      </c>
      <c r="E22" s="67" t="str">
        <f>VLOOKUP(D:D,'[1]Production Plan '!$B$7:$C$426,2,0)</f>
        <v>110 mm Dia Upvc Pipe SWR-3 SPL</v>
      </c>
      <c r="F22" s="68" t="str">
        <f>VLOOKUP(D22,'[2]Production Plan '!$B$7:$G$398,6,0)</f>
        <v>White</v>
      </c>
      <c r="G22" s="69">
        <v>185</v>
      </c>
      <c r="H22" s="70">
        <f>VLOOKUP(D:D,'[1]Production Plan '!$B:$F,5,0)</f>
        <v>12.7</v>
      </c>
      <c r="I22" s="76">
        <v>128</v>
      </c>
      <c r="J22" s="82">
        <f t="shared" si="3"/>
        <v>5.1664984863773966E-2</v>
      </c>
      <c r="K22" s="7">
        <f t="shared" si="0"/>
        <v>2477.5</v>
      </c>
      <c r="L22" s="72" t="str">
        <f>VLOOKUP(D:D,[3]Sheet1!$A:$G,7,0)</f>
        <v>SWR-White</v>
      </c>
      <c r="M22" s="45"/>
      <c r="N22" s="25">
        <v>11</v>
      </c>
      <c r="O22" s="25">
        <f t="shared" si="1"/>
        <v>1</v>
      </c>
      <c r="P22" s="30" t="s">
        <v>105</v>
      </c>
    </row>
    <row r="23" spans="1:16" ht="126" x14ac:dyDescent="0.25">
      <c r="A23" s="8">
        <v>18</v>
      </c>
      <c r="B23" s="7" t="s">
        <v>39</v>
      </c>
      <c r="C23" s="7" t="s">
        <v>79</v>
      </c>
      <c r="D23" s="10">
        <v>11304</v>
      </c>
      <c r="E23" s="67" t="str">
        <f>VLOOKUP(D:D,'[1]Production Plan '!$B$7:$C$426,2,0)</f>
        <v>80mm Dia Upvc Pipe SWR-0</v>
      </c>
      <c r="F23" s="68" t="str">
        <f>VLOOKUP(D23,'[2]Production Plan '!$B$7:$G$398,6,0)</f>
        <v>White</v>
      </c>
      <c r="G23" s="69">
        <v>186</v>
      </c>
      <c r="H23" s="70">
        <f>VLOOKUP(D:D,'[1]Production Plan '!$B:$F,5,0)</f>
        <v>5.8</v>
      </c>
      <c r="I23" s="76">
        <v>156</v>
      </c>
      <c r="J23" s="82">
        <f t="shared" si="3"/>
        <v>0.12633624878522839</v>
      </c>
      <c r="K23" s="7">
        <f t="shared" si="0"/>
        <v>1234.8</v>
      </c>
      <c r="L23" s="72" t="str">
        <f>VLOOKUP(D:D,[3]Sheet1!$A:$G,7,0)</f>
        <v>SWR-White</v>
      </c>
      <c r="M23" s="45"/>
      <c r="N23" s="25">
        <v>6</v>
      </c>
      <c r="O23" s="25">
        <f t="shared" si="1"/>
        <v>6</v>
      </c>
      <c r="P23" s="30" t="s">
        <v>119</v>
      </c>
    </row>
    <row r="24" spans="1:16" ht="94.5" x14ac:dyDescent="0.25">
      <c r="A24" s="8">
        <v>19</v>
      </c>
      <c r="B24" s="7" t="s">
        <v>40</v>
      </c>
      <c r="C24" s="7"/>
      <c r="D24" s="10">
        <v>13397</v>
      </c>
      <c r="E24" s="67" t="str">
        <f>VLOOKUP(D:D,'[1]Production Plan '!$B$7:$C$426,2,0)</f>
        <v>1.5 Inch Dia Upvc Pipe Class D-SP (Br)</v>
      </c>
      <c r="F24" s="68" t="str">
        <f>VLOOKUP(D24,'[2]Production Plan '!$B$7:$G$398,6,0)</f>
        <v>Grey</v>
      </c>
      <c r="G24" s="69">
        <v>0</v>
      </c>
      <c r="H24" s="70">
        <f>VLOOKUP(D:D,'[1]Production Plan '!$B:$F,5,0)</f>
        <v>2.85</v>
      </c>
      <c r="I24" s="69">
        <v>0</v>
      </c>
      <c r="J24" s="82" t="e">
        <f t="shared" si="3"/>
        <v>#DIV/0!</v>
      </c>
      <c r="K24" s="7">
        <f t="shared" si="0"/>
        <v>0</v>
      </c>
      <c r="L24" s="72" t="str">
        <f>VLOOKUP(D:D,[3]Sheet1!$A:$G,7,0)</f>
        <v>STD-Grey</v>
      </c>
      <c r="M24" s="45"/>
      <c r="N24" s="17">
        <v>0</v>
      </c>
      <c r="O24" s="17">
        <f t="shared" si="1"/>
        <v>12</v>
      </c>
      <c r="P24" s="18" t="s">
        <v>52</v>
      </c>
    </row>
    <row r="25" spans="1:16" ht="78.75" x14ac:dyDescent="0.25">
      <c r="A25" s="8">
        <v>20</v>
      </c>
      <c r="B25" s="7" t="s">
        <v>41</v>
      </c>
      <c r="C25" s="7" t="s">
        <v>53</v>
      </c>
      <c r="D25" s="10">
        <v>11503</v>
      </c>
      <c r="E25" s="67" t="str">
        <f>VLOOKUP(D:D,'[1]Production Plan '!$B$7:$C$426,2,0)</f>
        <v>1 Inch Dia UPVC Thread Pipe</v>
      </c>
      <c r="F25" s="68" t="str">
        <f>VLOOKUP(D25,'[2]Production Plan '!$B$7:$G$398,6,0)</f>
        <v>Green</v>
      </c>
      <c r="G25" s="69">
        <v>1120</v>
      </c>
      <c r="H25" s="70">
        <f>VLOOKUP(D:D,'[1]Production Plan '!$B:$F,5,0)</f>
        <v>1.65</v>
      </c>
      <c r="I25" s="69">
        <v>0</v>
      </c>
      <c r="J25" s="82">
        <f t="shared" si="3"/>
        <v>0</v>
      </c>
      <c r="K25" s="7">
        <f t="shared" si="0"/>
        <v>1848</v>
      </c>
      <c r="L25" s="72" t="str">
        <f>VLOOKUP(D:D,[3]Sheet1!$A:$G,7,0)</f>
        <v>Thread-Green</v>
      </c>
      <c r="M25" s="45"/>
      <c r="N25" s="17">
        <v>12</v>
      </c>
      <c r="O25" s="17">
        <f t="shared" si="1"/>
        <v>0</v>
      </c>
      <c r="P25" s="18"/>
    </row>
    <row r="26" spans="1:16" ht="63" x14ac:dyDescent="0.25">
      <c r="A26" s="8">
        <v>21</v>
      </c>
      <c r="B26" s="7" t="s">
        <v>42</v>
      </c>
      <c r="C26" s="7" t="s">
        <v>46</v>
      </c>
      <c r="D26" s="10">
        <v>12570</v>
      </c>
      <c r="E26" s="67" t="str">
        <f>VLOOKUP(D:D,'[1]Production Plan '!$B$7:$C$426,2,0)</f>
        <v>1 Inc HDPE Coil Pipe-Green</v>
      </c>
      <c r="F26" s="68" t="str">
        <f>VLOOKUP(D26,'[2]Production Plan '!$B$7:$G$398,6,0)</f>
        <v>Green</v>
      </c>
      <c r="G26" s="69">
        <v>21</v>
      </c>
      <c r="H26" s="70">
        <f>VLOOKUP(D:D,'[1]Production Plan '!$B:$F,5,0)</f>
        <v>35</v>
      </c>
      <c r="I26" s="80">
        <v>0</v>
      </c>
      <c r="J26" s="73">
        <f t="shared" si="3"/>
        <v>0</v>
      </c>
      <c r="K26" s="7">
        <f t="shared" si="0"/>
        <v>735</v>
      </c>
      <c r="L26" s="72" t="str">
        <f>VLOOKUP(D:D,[3]Sheet1!$A:$G,7,0)</f>
        <v>HDPE D/L Green</v>
      </c>
      <c r="M26" s="45"/>
      <c r="N26" s="35">
        <v>10</v>
      </c>
      <c r="O26" s="35">
        <f t="shared" si="1"/>
        <v>2</v>
      </c>
      <c r="P26" s="37" t="s">
        <v>48</v>
      </c>
    </row>
    <row r="27" spans="1:16" ht="78.75" x14ac:dyDescent="0.25">
      <c r="A27" s="8">
        <v>22</v>
      </c>
      <c r="B27" s="7" t="s">
        <v>42</v>
      </c>
      <c r="C27" s="7" t="s">
        <v>21</v>
      </c>
      <c r="D27" s="10">
        <v>13596</v>
      </c>
      <c r="E27" s="67" t="str">
        <f>VLOOKUP(D:D,'[1]Production Plan '!$B$7:$C$426,2,0)</f>
        <v>HDPE Coil Pipe DL Black 1 Inc x 500 ft</v>
      </c>
      <c r="F27" s="68" t="e">
        <f>VLOOKUP(D27,'[2]Production Plan '!$B$7:$G$398,6,0)</f>
        <v>#N/A</v>
      </c>
      <c r="G27" s="69">
        <v>7</v>
      </c>
      <c r="H27" s="70">
        <f>VLOOKUP(D:D,'[1]Production Plan '!$B:$F,5,0)</f>
        <v>35</v>
      </c>
      <c r="I27" s="81"/>
      <c r="J27" s="75"/>
      <c r="K27" s="7">
        <f t="shared" si="0"/>
        <v>245</v>
      </c>
      <c r="L27" s="72"/>
      <c r="M27" s="45"/>
      <c r="N27" s="36"/>
      <c r="O27" s="36"/>
      <c r="P27" s="38"/>
    </row>
    <row r="28" spans="1:16" ht="110.25" x14ac:dyDescent="0.25">
      <c r="A28" s="8">
        <v>23</v>
      </c>
      <c r="B28" s="7" t="s">
        <v>43</v>
      </c>
      <c r="C28" s="7" t="s">
        <v>54</v>
      </c>
      <c r="D28" s="10">
        <v>11317</v>
      </c>
      <c r="E28" s="67" t="str">
        <f>VLOOKUP(D:D,'[1]Production Plan '!$B$7:$C$426,2,0)</f>
        <v>110mm Dia Upvc Pipe SWR-1 Special (White)</v>
      </c>
      <c r="F28" s="68" t="str">
        <f>VLOOKUP(D28,'[2]Production Plan '!$B$7:$G$398,6,0)</f>
        <v>White</v>
      </c>
      <c r="G28" s="69">
        <v>474</v>
      </c>
      <c r="H28" s="70">
        <f>VLOOKUP(D:D,'[1]Production Plan '!$B:$F,5,0)</f>
        <v>10</v>
      </c>
      <c r="I28" s="69">
        <v>366</v>
      </c>
      <c r="J28" s="71">
        <f t="shared" si="3"/>
        <v>7.1680376028202111E-2</v>
      </c>
      <c r="K28" s="7">
        <f t="shared" si="0"/>
        <v>5106</v>
      </c>
      <c r="L28" s="72" t="str">
        <f>VLOOKUP(D:D,[3]Sheet1!$A:$G,7,0)</f>
        <v>SWR-White</v>
      </c>
      <c r="M28" s="45"/>
      <c r="N28" s="17">
        <v>10</v>
      </c>
      <c r="O28" s="17">
        <f t="shared" si="1"/>
        <v>2</v>
      </c>
      <c r="P28" s="18" t="s">
        <v>105</v>
      </c>
    </row>
    <row r="29" spans="1:16" ht="94.5" x14ac:dyDescent="0.25">
      <c r="A29" s="8">
        <v>24</v>
      </c>
      <c r="B29" s="7" t="s">
        <v>44</v>
      </c>
      <c r="C29" s="7" t="s">
        <v>46</v>
      </c>
      <c r="D29" s="10">
        <v>13387</v>
      </c>
      <c r="E29" s="67" t="str">
        <f>VLOOKUP(D:D,'[1]Production Plan '!$B$7:$C$426,2,0)</f>
        <v>CPVC Pipe 3/4''(20mm)X3M-SDR-13.5</v>
      </c>
      <c r="F29" s="68" t="str">
        <f>VLOOKUP(D29,'[2]Production Plan '!$B$7:$G$398,6,0)</f>
        <v>Off White</v>
      </c>
      <c r="G29" s="69">
        <v>1240</v>
      </c>
      <c r="H29" s="70">
        <f>VLOOKUP(D:D,'[1]Production Plan '!$B:$F,5,0)</f>
        <v>0.55000000000000004</v>
      </c>
      <c r="I29" s="76">
        <v>0</v>
      </c>
      <c r="J29" s="71">
        <f t="shared" si="3"/>
        <v>0</v>
      </c>
      <c r="K29" s="7">
        <f t="shared" si="0"/>
        <v>682</v>
      </c>
      <c r="L29" s="72" t="str">
        <f>VLOOKUP(D:D,[3]Sheet1!$A:$G,7,0)</f>
        <v>Com..</v>
      </c>
      <c r="M29" s="45"/>
      <c r="N29" s="25">
        <v>11</v>
      </c>
      <c r="O29" s="25">
        <f>12-N29</f>
        <v>1</v>
      </c>
      <c r="P29" s="30" t="s">
        <v>120</v>
      </c>
    </row>
    <row r="30" spans="1:16" ht="15.75" x14ac:dyDescent="0.25">
      <c r="A30" s="8"/>
      <c r="B30" s="7"/>
      <c r="C30" s="7"/>
      <c r="D30" s="7"/>
      <c r="E30" s="67"/>
      <c r="F30" s="68"/>
      <c r="G30" s="7"/>
      <c r="H30" s="70"/>
      <c r="I30" s="83">
        <f>SUM(I6:I29)</f>
        <v>1645</v>
      </c>
      <c r="J30" s="83"/>
      <c r="K30" s="83">
        <f>SUM(K6:K29)</f>
        <v>24484.799999999999</v>
      </c>
      <c r="L30" s="72"/>
      <c r="M30" s="45"/>
      <c r="N30" s="17"/>
      <c r="O30" s="17"/>
      <c r="P30" s="7"/>
    </row>
  </sheetData>
  <mergeCells count="24">
    <mergeCell ref="N19:N20"/>
    <mergeCell ref="O19:O20"/>
    <mergeCell ref="P19:P20"/>
    <mergeCell ref="I26:I27"/>
    <mergeCell ref="J26:J27"/>
    <mergeCell ref="N26:N27"/>
    <mergeCell ref="O26:O27"/>
    <mergeCell ref="P26:P27"/>
    <mergeCell ref="N7:N9"/>
    <mergeCell ref="O7:O9"/>
    <mergeCell ref="P7:P9"/>
    <mergeCell ref="I13:I14"/>
    <mergeCell ref="J13:J14"/>
    <mergeCell ref="N13:N14"/>
    <mergeCell ref="O13:O14"/>
    <mergeCell ref="P13:P14"/>
    <mergeCell ref="F1:J1"/>
    <mergeCell ref="F2:J2"/>
    <mergeCell ref="F3:L3"/>
    <mergeCell ref="M6:M30"/>
    <mergeCell ref="I7:I9"/>
    <mergeCell ref="J7:J9"/>
    <mergeCell ref="I19:I20"/>
    <mergeCell ref="J19:J20"/>
  </mergeCells>
  <conditionalFormatting sqref="E30 E6:E8 E10:E28">
    <cfRule type="duplicateValues" dxfId="21" priority="2"/>
  </conditionalFormatting>
  <conditionalFormatting sqref="E29">
    <cfRule type="duplicateValues" dxfId="20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P28"/>
  <sheetViews>
    <sheetView topLeftCell="A10" workbookViewId="0">
      <selection activeCell="E7" sqref="E7"/>
    </sheetView>
  </sheetViews>
  <sheetFormatPr defaultRowHeight="15" x14ac:dyDescent="0.25"/>
  <cols>
    <col min="1" max="10" width="9.140625" style="84"/>
    <col min="11" max="11" width="9.5703125" style="84" bestFit="1" customWidth="1"/>
    <col min="12" max="16" width="9.140625" style="84"/>
  </cols>
  <sheetData>
    <row r="1" spans="1:16" ht="15.75" x14ac:dyDescent="0.25">
      <c r="A1" s="3"/>
      <c r="B1" s="3"/>
      <c r="C1" s="3"/>
      <c r="D1" s="3"/>
      <c r="E1" s="3"/>
      <c r="F1" s="57" t="s">
        <v>0</v>
      </c>
      <c r="G1" s="57"/>
      <c r="H1" s="57"/>
      <c r="I1" s="57"/>
      <c r="J1" s="57"/>
      <c r="K1" s="3"/>
      <c r="L1" s="3"/>
      <c r="M1" s="3"/>
      <c r="N1" s="3"/>
      <c r="O1" s="3"/>
      <c r="P1" s="3"/>
    </row>
    <row r="2" spans="1:16" ht="15.75" x14ac:dyDescent="0.25">
      <c r="A2" s="3"/>
      <c r="B2" s="63"/>
      <c r="C2" s="64"/>
      <c r="D2" s="3"/>
      <c r="E2" s="3"/>
      <c r="F2" s="57" t="s">
        <v>1</v>
      </c>
      <c r="G2" s="57"/>
      <c r="H2" s="57"/>
      <c r="I2" s="57"/>
      <c r="J2" s="57"/>
      <c r="K2" s="3"/>
      <c r="L2" s="3"/>
      <c r="M2" s="3"/>
      <c r="N2" s="3"/>
      <c r="O2" s="3"/>
      <c r="P2" s="3"/>
    </row>
    <row r="3" spans="1:16" ht="15.75" x14ac:dyDescent="0.25">
      <c r="A3" s="3"/>
      <c r="B3" s="3"/>
      <c r="C3" s="3"/>
      <c r="D3" s="3"/>
      <c r="E3" s="3"/>
      <c r="F3" s="44" t="s">
        <v>2</v>
      </c>
      <c r="G3" s="44"/>
      <c r="H3" s="44"/>
      <c r="I3" s="44"/>
      <c r="J3" s="44"/>
      <c r="K3" s="44"/>
      <c r="L3" s="44"/>
      <c r="M3" s="3"/>
      <c r="N3" s="3"/>
      <c r="O3" s="3"/>
      <c r="P3" s="3"/>
    </row>
    <row r="4" spans="1:16" ht="47.25" x14ac:dyDescent="0.25">
      <c r="A4" s="3"/>
      <c r="B4" s="3"/>
      <c r="C4" s="3"/>
      <c r="D4" s="3"/>
      <c r="E4" s="65" t="s">
        <v>121</v>
      </c>
      <c r="F4" s="3"/>
      <c r="G4" s="3"/>
      <c r="H4" s="3"/>
      <c r="I4" s="3"/>
      <c r="J4" s="3"/>
      <c r="K4" s="3"/>
      <c r="L4" s="63"/>
      <c r="M4" s="3"/>
      <c r="N4" s="3"/>
      <c r="O4" s="3"/>
      <c r="P4" s="66"/>
    </row>
    <row r="5" spans="1:16" ht="78.75" x14ac:dyDescent="0.25">
      <c r="A5" s="7" t="s">
        <v>3</v>
      </c>
      <c r="B5" s="7" t="s">
        <v>4</v>
      </c>
      <c r="C5" s="7" t="s">
        <v>5</v>
      </c>
      <c r="D5" s="7" t="s">
        <v>6</v>
      </c>
      <c r="E5" s="7" t="s">
        <v>7</v>
      </c>
      <c r="F5" s="7" t="s">
        <v>8</v>
      </c>
      <c r="G5" s="7" t="s">
        <v>9</v>
      </c>
      <c r="H5" s="7" t="s">
        <v>10</v>
      </c>
      <c r="I5" s="7" t="s">
        <v>11</v>
      </c>
      <c r="J5" s="7" t="s">
        <v>12</v>
      </c>
      <c r="K5" s="7" t="s">
        <v>13</v>
      </c>
      <c r="L5" s="7" t="s">
        <v>14</v>
      </c>
      <c r="M5" s="7" t="s">
        <v>15</v>
      </c>
      <c r="N5" s="7" t="s">
        <v>16</v>
      </c>
      <c r="O5" s="7" t="s">
        <v>17</v>
      </c>
      <c r="P5" s="7" t="s">
        <v>18</v>
      </c>
    </row>
    <row r="6" spans="1:16" ht="78.75" x14ac:dyDescent="0.25">
      <c r="A6" s="8">
        <v>1</v>
      </c>
      <c r="B6" s="7" t="s">
        <v>19</v>
      </c>
      <c r="C6" s="7"/>
      <c r="D6" s="10">
        <v>11141</v>
      </c>
      <c r="E6" s="67" t="str">
        <f>VLOOKUP(D:D,'[1]Production Plan '!$B$7:$C$426,2,0)</f>
        <v>4 Inch Upvc Pipe Star (Gray 20 Ft )</v>
      </c>
      <c r="F6" s="68" t="str">
        <f>VLOOKUP(D6,'[2]Production Plan '!$B$7:$G$398,6,0)</f>
        <v>Grey</v>
      </c>
      <c r="G6" s="69">
        <v>0</v>
      </c>
      <c r="H6" s="70">
        <f>VLOOKUP(D:D,'[1]Production Plan '!$B:$F,5,0)</f>
        <v>12.5</v>
      </c>
      <c r="I6" s="69">
        <v>0</v>
      </c>
      <c r="J6" s="71" t="e">
        <f>I6/(K6)</f>
        <v>#DIV/0!</v>
      </c>
      <c r="K6" s="7">
        <f>G6*H6+I6</f>
        <v>0</v>
      </c>
      <c r="L6" s="72" t="str">
        <f>VLOOKUP(D:D,[3]Sheet1!$A:$G,7,0)</f>
        <v>SWR-Grey</v>
      </c>
      <c r="M6" s="45">
        <f>I28/K28</f>
        <v>4.4621029406326652E-2</v>
      </c>
      <c r="N6" s="17">
        <v>0</v>
      </c>
      <c r="O6" s="17">
        <f>12-N6</f>
        <v>12</v>
      </c>
      <c r="P6" s="18" t="s">
        <v>52</v>
      </c>
    </row>
    <row r="7" spans="1:16" ht="110.25" x14ac:dyDescent="0.25">
      <c r="A7" s="8">
        <v>2</v>
      </c>
      <c r="B7" s="7" t="s">
        <v>22</v>
      </c>
      <c r="C7" s="7" t="s">
        <v>23</v>
      </c>
      <c r="D7" s="10">
        <v>12947</v>
      </c>
      <c r="E7" s="67" t="str">
        <f>VLOOKUP(D:D,'[1]Production Plan '!$B$7:$C$426,2,0)</f>
        <v>18 Inch Dia Upvc Pipe Class-D</v>
      </c>
      <c r="F7" s="68" t="str">
        <f>VLOOKUP(D7,'[2]Production Plan '!$B$7:$G$398,6,0)</f>
        <v>Grey</v>
      </c>
      <c r="G7" s="69">
        <v>0</v>
      </c>
      <c r="H7" s="70">
        <f>VLOOKUP(D:D,'[1]Production Plan '!$B:$F,5,0)</f>
        <v>302</v>
      </c>
      <c r="I7" s="30">
        <v>168</v>
      </c>
      <c r="J7" s="82">
        <f>I7/(K7)</f>
        <v>1</v>
      </c>
      <c r="K7" s="7">
        <f t="shared" ref="K7:K27" si="0">G7*H7+I7</f>
        <v>168</v>
      </c>
      <c r="L7" s="72" t="e">
        <f>VLOOKUP(D:D,[3]Sheet1!$A:$G,7,0)</f>
        <v>#N/A</v>
      </c>
      <c r="M7" s="45"/>
      <c r="N7" s="25">
        <v>7</v>
      </c>
      <c r="O7" s="25">
        <f t="shared" ref="O7:O26" si="1">12-N7</f>
        <v>5</v>
      </c>
      <c r="P7" s="30" t="s">
        <v>122</v>
      </c>
    </row>
    <row r="8" spans="1:16" ht="78.75" x14ac:dyDescent="0.25">
      <c r="A8" s="8">
        <v>3</v>
      </c>
      <c r="B8" s="7" t="s">
        <v>24</v>
      </c>
      <c r="C8" s="18"/>
      <c r="D8" s="10">
        <v>11105</v>
      </c>
      <c r="E8" s="67" t="str">
        <f>VLOOKUP(D:D,'[1]Production Plan '!$B$7:$C$426,2,0)</f>
        <v>1 Inch Dia Upvc Pipe Class-D</v>
      </c>
      <c r="F8" s="68" t="str">
        <f>VLOOKUP(D8,'[2]Production Plan '!$B$7:$G$398,6,0)</f>
        <v>Grey</v>
      </c>
      <c r="G8" s="69">
        <v>0</v>
      </c>
      <c r="H8" s="70">
        <f>VLOOKUP(D:D,'[1]Production Plan '!$B:$F,5,0)</f>
        <v>0.85</v>
      </c>
      <c r="I8" s="69">
        <v>0</v>
      </c>
      <c r="J8" s="71" t="e">
        <f t="shared" ref="J8:J16" si="2">I8/(K8)</f>
        <v>#DIV/0!</v>
      </c>
      <c r="K8" s="7">
        <f t="shared" si="0"/>
        <v>0</v>
      </c>
      <c r="L8" s="72" t="str">
        <f>VLOOKUP(D:D,[3]Sheet1!$A:$G,7,0)</f>
        <v>STD-Grey</v>
      </c>
      <c r="M8" s="45"/>
      <c r="N8" s="17">
        <v>0</v>
      </c>
      <c r="O8" s="17">
        <f t="shared" si="1"/>
        <v>12</v>
      </c>
      <c r="P8" s="18" t="s">
        <v>52</v>
      </c>
    </row>
    <row r="9" spans="1:16" ht="78.75" x14ac:dyDescent="0.25">
      <c r="A9" s="8">
        <v>4</v>
      </c>
      <c r="B9" s="7" t="s">
        <v>25</v>
      </c>
      <c r="C9" s="18" t="s">
        <v>20</v>
      </c>
      <c r="D9" s="10">
        <v>11506</v>
      </c>
      <c r="E9" s="67" t="str">
        <f>VLOOKUP(D:D,'[1]Production Plan '!$B$7:$C$426,2,0)</f>
        <v>2 Inch Dia UPVC Thread Pipe</v>
      </c>
      <c r="F9" s="68" t="str">
        <f>VLOOKUP(D9,'[2]Production Plan '!$B$7:$G$398,6,0)</f>
        <v>Green</v>
      </c>
      <c r="G9" s="69">
        <v>405</v>
      </c>
      <c r="H9" s="70">
        <f>VLOOKUP(D:D,'[1]Production Plan '!$B:$F,5,0)</f>
        <v>3.9</v>
      </c>
      <c r="I9" s="76">
        <v>20</v>
      </c>
      <c r="J9" s="71">
        <f t="shared" si="2"/>
        <v>1.2503907471084715E-2</v>
      </c>
      <c r="K9" s="7">
        <f t="shared" si="0"/>
        <v>1599.5</v>
      </c>
      <c r="L9" s="72" t="str">
        <f>VLOOKUP(D:D,[3]Sheet1!$A:$G,7,0)</f>
        <v>Thread-Green</v>
      </c>
      <c r="M9" s="45"/>
      <c r="N9" s="25">
        <v>12</v>
      </c>
      <c r="O9" s="25">
        <f t="shared" si="1"/>
        <v>0</v>
      </c>
      <c r="P9" s="30"/>
    </row>
    <row r="10" spans="1:16" ht="110.25" x14ac:dyDescent="0.25">
      <c r="A10" s="8">
        <v>5</v>
      </c>
      <c r="B10" s="77" t="s">
        <v>26</v>
      </c>
      <c r="C10" s="7" t="s">
        <v>27</v>
      </c>
      <c r="D10" s="10">
        <v>11108</v>
      </c>
      <c r="E10" s="67" t="str">
        <f>VLOOKUP(D:D,'[1]Production Plan '!$B$7:$C$426,2,0)</f>
        <v>1.5 Inch Dia UPVC Pipe Class-Economy</v>
      </c>
      <c r="F10" s="68" t="str">
        <f>VLOOKUP(D10,'[2]Production Plan '!$B$7:$G$398,6,0)</f>
        <v>White</v>
      </c>
      <c r="G10" s="69">
        <v>570</v>
      </c>
      <c r="H10" s="70">
        <f>VLOOKUP(D:D,'[1]Production Plan '!$B:$F,5,0)</f>
        <v>1.8</v>
      </c>
      <c r="I10" s="76">
        <v>68</v>
      </c>
      <c r="J10" s="71">
        <f t="shared" si="2"/>
        <v>6.2157221206581355E-2</v>
      </c>
      <c r="K10" s="7">
        <f t="shared" si="0"/>
        <v>1094</v>
      </c>
      <c r="L10" s="72" t="str">
        <f>VLOOKUP(D:D,[3]Sheet1!$A:$G,7,0)</f>
        <v>Economy- White</v>
      </c>
      <c r="M10" s="45"/>
      <c r="N10" s="25">
        <v>12</v>
      </c>
      <c r="O10" s="25">
        <f t="shared" si="1"/>
        <v>0</v>
      </c>
      <c r="P10" s="30"/>
    </row>
    <row r="11" spans="1:16" ht="94.5" x14ac:dyDescent="0.25">
      <c r="A11" s="8">
        <v>6</v>
      </c>
      <c r="B11" s="77" t="s">
        <v>28</v>
      </c>
      <c r="C11" s="78" t="s">
        <v>21</v>
      </c>
      <c r="D11" s="10">
        <v>11302</v>
      </c>
      <c r="E11" s="67" t="str">
        <f>VLOOKUP(D:D,'[1]Production Plan '!$B$7:$C$426,2,0)</f>
        <v>40 mm Dia UPVC Pipe Class ISO</v>
      </c>
      <c r="F11" s="68" t="str">
        <f>VLOOKUP(D11,'[2]Production Plan '!$B$7:$G$398,6,0)</f>
        <v>White</v>
      </c>
      <c r="G11" s="79">
        <v>0</v>
      </c>
      <c r="H11" s="70">
        <f>VLOOKUP(D:D,'[1]Production Plan '!$B:$F,5,0)</f>
        <v>1.3</v>
      </c>
      <c r="I11" s="80">
        <v>110</v>
      </c>
      <c r="J11" s="73">
        <f t="shared" si="2"/>
        <v>1</v>
      </c>
      <c r="K11" s="7">
        <f t="shared" si="0"/>
        <v>110</v>
      </c>
      <c r="L11" s="72" t="str">
        <f>VLOOKUP(D:D,[3]Sheet1!$A:$G,7,0)</f>
        <v>SWR-White</v>
      </c>
      <c r="M11" s="45"/>
      <c r="N11" s="35">
        <v>12</v>
      </c>
      <c r="O11" s="35">
        <f t="shared" si="1"/>
        <v>0</v>
      </c>
      <c r="P11" s="37"/>
    </row>
    <row r="12" spans="1:16" ht="94.5" x14ac:dyDescent="0.25">
      <c r="A12" s="8">
        <v>7</v>
      </c>
      <c r="B12" s="77" t="s">
        <v>28</v>
      </c>
      <c r="C12" s="78" t="s">
        <v>21</v>
      </c>
      <c r="D12" s="10">
        <v>11303</v>
      </c>
      <c r="E12" s="67" t="str">
        <f>VLOOKUP(D:D,'[1]Production Plan '!$B$7:$C$426,2,0)</f>
        <v>50mm Dia UPVC Pipe Class-ISO</v>
      </c>
      <c r="F12" s="68" t="str">
        <f>VLOOKUP(D12,'[2]Production Plan '!$B$7:$G$398,6,0)</f>
        <v>White</v>
      </c>
      <c r="G12" s="79">
        <v>390</v>
      </c>
      <c r="H12" s="70">
        <f>VLOOKUP(D:D,'[1]Production Plan '!$B:$F,5,0)</f>
        <v>2.2000000000000002</v>
      </c>
      <c r="I12" s="81"/>
      <c r="J12" s="75"/>
      <c r="K12" s="7">
        <f t="shared" si="0"/>
        <v>858.00000000000011</v>
      </c>
      <c r="L12" s="72" t="str">
        <f>VLOOKUP(D:D,[3]Sheet1!$A:$G,7,0)</f>
        <v>SWR-White</v>
      </c>
      <c r="M12" s="45"/>
      <c r="N12" s="36"/>
      <c r="O12" s="36"/>
      <c r="P12" s="38"/>
    </row>
    <row r="13" spans="1:16" ht="78.75" x14ac:dyDescent="0.25">
      <c r="A13" s="8">
        <v>8</v>
      </c>
      <c r="B13" s="7" t="s">
        <v>30</v>
      </c>
      <c r="C13" s="7" t="s">
        <v>20</v>
      </c>
      <c r="D13" s="10">
        <v>11309</v>
      </c>
      <c r="E13" s="67" t="str">
        <f>VLOOKUP(D:D,'[1]Production Plan '!$B$7:$C$426,2,0)</f>
        <v>110mm Dia UPVC Pipe ISO-2</v>
      </c>
      <c r="F13" s="68" t="str">
        <f>VLOOKUP(D13,'[2]Production Plan '!$B$7:$G$398,6,0)</f>
        <v>White</v>
      </c>
      <c r="G13" s="69">
        <v>156</v>
      </c>
      <c r="H13" s="70">
        <f>VLOOKUP(D:D,'[1]Production Plan '!$B:$F,5,0)</f>
        <v>11</v>
      </c>
      <c r="I13" s="76">
        <v>125</v>
      </c>
      <c r="J13" s="71">
        <f t="shared" si="2"/>
        <v>6.7897881586094513E-2</v>
      </c>
      <c r="K13" s="7">
        <f t="shared" si="0"/>
        <v>1841</v>
      </c>
      <c r="L13" s="72" t="str">
        <f>VLOOKUP(D:D,[3]Sheet1!$A:$G,7,0)</f>
        <v>SWR-White</v>
      </c>
      <c r="M13" s="45"/>
      <c r="N13" s="25">
        <v>12</v>
      </c>
      <c r="O13" s="25">
        <f t="shared" si="1"/>
        <v>0</v>
      </c>
      <c r="P13" s="30"/>
    </row>
    <row r="14" spans="1:16" ht="63" x14ac:dyDescent="0.25">
      <c r="A14" s="8">
        <v>9</v>
      </c>
      <c r="B14" s="7" t="s">
        <v>32</v>
      </c>
      <c r="C14" s="7"/>
      <c r="D14" s="10">
        <v>11335</v>
      </c>
      <c r="E14" s="67" t="str">
        <f>VLOOKUP(D:D,'[1]Production Plan '!$B$7:$C$426,2,0)</f>
        <v>160mm Dia Upvc PN-8 Pipe</v>
      </c>
      <c r="F14" s="68" t="str">
        <f>VLOOKUP(D14,'[2]Production Plan '!$B$7:$G$398,6,0)</f>
        <v>White</v>
      </c>
      <c r="G14" s="69">
        <v>0</v>
      </c>
      <c r="H14" s="70">
        <f>VLOOKUP(D:D,'[1]Production Plan '!$B:$F,5,0)</f>
        <v>26.6</v>
      </c>
      <c r="I14" s="69"/>
      <c r="J14" s="71" t="e">
        <f t="shared" si="2"/>
        <v>#DIV/0!</v>
      </c>
      <c r="K14" s="7">
        <f t="shared" si="0"/>
        <v>0</v>
      </c>
      <c r="L14" s="72" t="str">
        <f>VLOOKUP(D:D,[3]Sheet1!$A:$G,7,0)</f>
        <v>STD-White</v>
      </c>
      <c r="M14" s="45"/>
      <c r="N14" s="17">
        <v>0</v>
      </c>
      <c r="O14" s="17">
        <f t="shared" si="1"/>
        <v>12</v>
      </c>
      <c r="P14" s="18" t="s">
        <v>52</v>
      </c>
    </row>
    <row r="15" spans="1:16" ht="78.75" x14ac:dyDescent="0.25">
      <c r="A15" s="8">
        <v>10</v>
      </c>
      <c r="B15" s="7" t="s">
        <v>33</v>
      </c>
      <c r="C15" s="78"/>
      <c r="D15" s="10">
        <v>11325</v>
      </c>
      <c r="E15" s="67" t="str">
        <f>VLOOKUP(D:D,'[1]Production Plan '!$B$7:$C$426,2,0)</f>
        <v>110 mm Dia UPVC Pipe SWR-3</v>
      </c>
      <c r="F15" s="68" t="str">
        <f>VLOOKUP(D15,'[2]Production Plan '!$B$7:$G$398,6,0)</f>
        <v>White</v>
      </c>
      <c r="G15" s="69">
        <v>0</v>
      </c>
      <c r="H15" s="70">
        <f>VLOOKUP(D:D,'[1]Production Plan '!$B:$F,5,0)</f>
        <v>12.9</v>
      </c>
      <c r="I15" s="69"/>
      <c r="J15" s="71" t="e">
        <f t="shared" si="2"/>
        <v>#DIV/0!</v>
      </c>
      <c r="K15" s="7">
        <f t="shared" si="0"/>
        <v>0</v>
      </c>
      <c r="L15" s="72" t="str">
        <f>VLOOKUP(D:D,[3]Sheet1!$A:$G,7,0)</f>
        <v>SWR-White</v>
      </c>
      <c r="M15" s="45"/>
      <c r="N15" s="17">
        <v>0</v>
      </c>
      <c r="O15" s="17">
        <f t="shared" si="1"/>
        <v>12</v>
      </c>
      <c r="P15" s="18" t="s">
        <v>52</v>
      </c>
    </row>
    <row r="16" spans="1:16" ht="78.75" x14ac:dyDescent="0.25">
      <c r="A16" s="8">
        <v>11</v>
      </c>
      <c r="B16" s="7" t="s">
        <v>34</v>
      </c>
      <c r="C16" s="78" t="s">
        <v>29</v>
      </c>
      <c r="D16" s="10">
        <v>11502</v>
      </c>
      <c r="E16" s="67" t="str">
        <f>VLOOKUP(D:D,'[1]Production Plan '!$B$7:$C$426,2,0)</f>
        <v>0.75 Inch Dia UPVC Thread Pipe</v>
      </c>
      <c r="F16" s="68" t="str">
        <f>VLOOKUP(D16,'[2]Production Plan '!$B$7:$G$398,6,0)</f>
        <v>Green</v>
      </c>
      <c r="G16" s="69">
        <v>560</v>
      </c>
      <c r="H16" s="70">
        <f>VLOOKUP(D:D,'[1]Production Plan '!$B:$F,5,0)</f>
        <v>1.24</v>
      </c>
      <c r="I16" s="69">
        <v>77</v>
      </c>
      <c r="J16" s="71">
        <f t="shared" si="2"/>
        <v>9.981851179673322E-2</v>
      </c>
      <c r="K16" s="7">
        <f t="shared" si="0"/>
        <v>771.4</v>
      </c>
      <c r="L16" s="72" t="str">
        <f>VLOOKUP(D:D,[3]Sheet1!$A:$G,7,0)</f>
        <v>Thread-Green</v>
      </c>
      <c r="M16" s="45"/>
      <c r="N16" s="17">
        <v>7</v>
      </c>
      <c r="O16" s="17">
        <f t="shared" si="1"/>
        <v>5</v>
      </c>
      <c r="P16" s="18" t="s">
        <v>123</v>
      </c>
    </row>
    <row r="17" spans="1:16" ht="110.25" x14ac:dyDescent="0.25">
      <c r="A17" s="8">
        <v>12</v>
      </c>
      <c r="B17" s="7" t="s">
        <v>35</v>
      </c>
      <c r="C17" s="7" t="s">
        <v>87</v>
      </c>
      <c r="D17" s="10">
        <v>13249</v>
      </c>
      <c r="E17" s="67" t="str">
        <f>VLOOKUP(D:D,'[1]Production Plan '!$B$7:$C$426,2,0)</f>
        <v>4 Inch Dia UPVC Pipe Class-D SPL As Like BS</v>
      </c>
      <c r="F17" s="68" t="str">
        <f>VLOOKUP(D17,'[2]Production Plan '!$B$7:$G$398,6,0)</f>
        <v>Grey</v>
      </c>
      <c r="G17" s="69">
        <v>70</v>
      </c>
      <c r="H17" s="70">
        <f>VLOOKUP(D:D,'[1]Production Plan '!$B:$F,5,0)</f>
        <v>20</v>
      </c>
      <c r="I17" s="80">
        <v>245</v>
      </c>
      <c r="J17" s="73">
        <f>I17/(K17+K19)</f>
        <v>0.14893617021276595</v>
      </c>
      <c r="K17" s="7">
        <f t="shared" si="0"/>
        <v>1645</v>
      </c>
      <c r="L17" s="72" t="s">
        <v>117</v>
      </c>
      <c r="M17" s="45"/>
      <c r="N17" s="35">
        <v>11</v>
      </c>
      <c r="O17" s="35">
        <f t="shared" si="1"/>
        <v>1</v>
      </c>
      <c r="P17" s="37" t="s">
        <v>124</v>
      </c>
    </row>
    <row r="18" spans="1:16" ht="94.5" x14ac:dyDescent="0.25">
      <c r="A18" s="8">
        <v>13</v>
      </c>
      <c r="B18" s="7" t="s">
        <v>35</v>
      </c>
      <c r="C18" s="7" t="s">
        <v>21</v>
      </c>
      <c r="D18" s="10">
        <v>11391</v>
      </c>
      <c r="E18" s="67" t="str">
        <f>VLOOKUP(D:D,'[1]Production Plan '!$B$7:$C$426,2,0)</f>
        <v>4 Inch Dia UPVC Pipe Class-D SPL</v>
      </c>
      <c r="F18" s="68" t="str">
        <f>VLOOKUP(D18,'[2]Production Plan '!$B$7:$G$398,6,0)</f>
        <v>Grey</v>
      </c>
      <c r="G18" s="69">
        <v>84</v>
      </c>
      <c r="H18" s="70">
        <f>VLOOKUP(D:D,'[1]Production Plan '!$B:$F,5,0)</f>
        <v>20</v>
      </c>
      <c r="I18" s="85"/>
      <c r="J18" s="74"/>
      <c r="K18" s="7">
        <f t="shared" si="0"/>
        <v>1680</v>
      </c>
      <c r="L18" s="72"/>
      <c r="M18" s="45"/>
      <c r="N18" s="50"/>
      <c r="O18" s="50"/>
      <c r="P18" s="51"/>
    </row>
    <row r="19" spans="1:16" ht="110.25" x14ac:dyDescent="0.25">
      <c r="A19" s="8">
        <v>14</v>
      </c>
      <c r="B19" s="7" t="s">
        <v>35</v>
      </c>
      <c r="C19" s="7" t="s">
        <v>21</v>
      </c>
      <c r="D19" s="10">
        <v>11399</v>
      </c>
      <c r="E19" s="67" t="str">
        <f>VLOOKUP(D:D,'[1]Production Plan '!$B$7:$C$426,2,0)</f>
        <v>4 Inch Dia Upvc Pipe Class -D SPL Filter</v>
      </c>
      <c r="F19" s="68" t="str">
        <f>VLOOKUP(D19,'[2]Production Plan '!$B$7:$G$398,6,0)</f>
        <v>Grey</v>
      </c>
      <c r="G19" s="69">
        <v>0</v>
      </c>
      <c r="H19" s="70">
        <f>VLOOKUP(D:D,'[1]Production Plan '!$B:$F,5,0)</f>
        <v>10</v>
      </c>
      <c r="I19" s="81"/>
      <c r="J19" s="75"/>
      <c r="K19" s="7">
        <f t="shared" si="0"/>
        <v>0</v>
      </c>
      <c r="L19" s="72" t="str">
        <f>VLOOKUP(D:D,[3]Sheet1!$A:$G,7,0)</f>
        <v xml:space="preserve">Three Layer </v>
      </c>
      <c r="M19" s="45"/>
      <c r="N19" s="36"/>
      <c r="O19" s="36"/>
      <c r="P19" s="38"/>
    </row>
    <row r="20" spans="1:16" ht="78.75" x14ac:dyDescent="0.25">
      <c r="A20" s="8">
        <v>15</v>
      </c>
      <c r="B20" s="7" t="s">
        <v>36</v>
      </c>
      <c r="C20" s="7" t="s">
        <v>37</v>
      </c>
      <c r="D20" s="10">
        <v>11346</v>
      </c>
      <c r="E20" s="67" t="str">
        <f>VLOOKUP(D:D,'[1]Production Plan '!$B$7:$C$426,2,0)</f>
        <v>200 MM Dia UPVC Pipe SWR-2</v>
      </c>
      <c r="F20" s="68" t="str">
        <f>VLOOKUP(D20,'[2]Production Plan '!$B$7:$G$398,6,0)</f>
        <v>White</v>
      </c>
      <c r="G20" s="69">
        <v>70</v>
      </c>
      <c r="H20" s="70">
        <f>VLOOKUP(D:D,'[1]Production Plan '!$B:$F,5,0)</f>
        <v>35.200000000000003</v>
      </c>
      <c r="I20" s="76">
        <v>0</v>
      </c>
      <c r="J20" s="82">
        <f t="shared" ref="J20:J27" si="3">I20/(K20)</f>
        <v>0</v>
      </c>
      <c r="K20" s="7">
        <f t="shared" si="0"/>
        <v>2464</v>
      </c>
      <c r="L20" s="72" t="str">
        <f>VLOOKUP(D:D,[3]Sheet1!$A:$G,7,0)</f>
        <v>SWR-White</v>
      </c>
      <c r="M20" s="45"/>
      <c r="N20" s="25">
        <v>12</v>
      </c>
      <c r="O20" s="25">
        <f t="shared" si="1"/>
        <v>0</v>
      </c>
      <c r="P20" s="30"/>
    </row>
    <row r="21" spans="1:16" ht="94.5" x14ac:dyDescent="0.25">
      <c r="A21" s="8">
        <v>16</v>
      </c>
      <c r="B21" s="7" t="s">
        <v>38</v>
      </c>
      <c r="C21" s="7" t="s">
        <v>21</v>
      </c>
      <c r="D21" s="10">
        <v>12934</v>
      </c>
      <c r="E21" s="67" t="str">
        <f>VLOOKUP(D:D,'[1]Production Plan '!$B$7:$C$426,2,0)</f>
        <v>110 mm Dia Upvc Pipe SWR-3 SPL</v>
      </c>
      <c r="F21" s="68" t="str">
        <f>VLOOKUP(D21,'[2]Production Plan '!$B$7:$G$398,6,0)</f>
        <v>White</v>
      </c>
      <c r="G21" s="69">
        <v>175</v>
      </c>
      <c r="H21" s="70">
        <f>VLOOKUP(D:D,'[1]Production Plan '!$B:$F,5,0)</f>
        <v>12.7</v>
      </c>
      <c r="I21" s="76">
        <v>13</v>
      </c>
      <c r="J21" s="82">
        <f t="shared" si="3"/>
        <v>5.8152538581972713E-3</v>
      </c>
      <c r="K21" s="7">
        <f t="shared" si="0"/>
        <v>2235.5</v>
      </c>
      <c r="L21" s="72" t="str">
        <f>VLOOKUP(D:D,[3]Sheet1!$A:$G,7,0)</f>
        <v>SWR-White</v>
      </c>
      <c r="M21" s="45"/>
      <c r="N21" s="25">
        <v>12</v>
      </c>
      <c r="O21" s="25">
        <f t="shared" si="1"/>
        <v>0</v>
      </c>
      <c r="P21" s="30"/>
    </row>
    <row r="22" spans="1:16" ht="78.75" x14ac:dyDescent="0.25">
      <c r="A22" s="8">
        <v>17</v>
      </c>
      <c r="B22" s="7" t="s">
        <v>39</v>
      </c>
      <c r="C22" s="7" t="s">
        <v>89</v>
      </c>
      <c r="D22" s="10">
        <v>11304</v>
      </c>
      <c r="E22" s="67" t="str">
        <f>VLOOKUP(D:D,'[1]Production Plan '!$B$7:$C$426,2,0)</f>
        <v>80mm Dia Upvc Pipe SWR-0</v>
      </c>
      <c r="F22" s="68" t="str">
        <f>VLOOKUP(D22,'[2]Production Plan '!$B$7:$G$398,6,0)</f>
        <v>White</v>
      </c>
      <c r="G22" s="69">
        <v>248</v>
      </c>
      <c r="H22" s="70">
        <f>VLOOKUP(D:D,'[1]Production Plan '!$B:$F,5,0)</f>
        <v>5.8</v>
      </c>
      <c r="I22" s="76">
        <v>107</v>
      </c>
      <c r="J22" s="82">
        <f t="shared" si="3"/>
        <v>6.9237737802510677E-2</v>
      </c>
      <c r="K22" s="7">
        <f t="shared" si="0"/>
        <v>1545.3999999999999</v>
      </c>
      <c r="L22" s="72" t="str">
        <f>VLOOKUP(D:D,[3]Sheet1!$A:$G,7,0)</f>
        <v>SWR-White</v>
      </c>
      <c r="M22" s="45"/>
      <c r="N22" s="25">
        <v>8</v>
      </c>
      <c r="O22" s="25">
        <f t="shared" si="1"/>
        <v>4</v>
      </c>
      <c r="P22" s="30" t="s">
        <v>100</v>
      </c>
    </row>
    <row r="23" spans="1:16" ht="94.5" x14ac:dyDescent="0.25">
      <c r="A23" s="8">
        <v>18</v>
      </c>
      <c r="B23" s="7" t="s">
        <v>40</v>
      </c>
      <c r="C23" s="7"/>
      <c r="D23" s="10">
        <v>13397</v>
      </c>
      <c r="E23" s="67" t="str">
        <f>VLOOKUP(D:D,'[1]Production Plan '!$B$7:$C$426,2,0)</f>
        <v>1.5 Inch Dia Upvc Pipe Class D-SP (Br)</v>
      </c>
      <c r="F23" s="68" t="str">
        <f>VLOOKUP(D23,'[2]Production Plan '!$B$7:$G$398,6,0)</f>
        <v>Grey</v>
      </c>
      <c r="G23" s="69">
        <v>0</v>
      </c>
      <c r="H23" s="70">
        <f>VLOOKUP(D:D,'[1]Production Plan '!$B:$F,5,0)</f>
        <v>2.85</v>
      </c>
      <c r="I23" s="69">
        <v>0</v>
      </c>
      <c r="J23" s="82" t="e">
        <f t="shared" si="3"/>
        <v>#DIV/0!</v>
      </c>
      <c r="K23" s="7">
        <f t="shared" si="0"/>
        <v>0</v>
      </c>
      <c r="L23" s="72" t="str">
        <f>VLOOKUP(D:D,[3]Sheet1!$A:$G,7,0)</f>
        <v>STD-Grey</v>
      </c>
      <c r="M23" s="45"/>
      <c r="N23" s="17">
        <v>0</v>
      </c>
      <c r="O23" s="17">
        <f t="shared" si="1"/>
        <v>12</v>
      </c>
      <c r="P23" s="18" t="s">
        <v>52</v>
      </c>
    </row>
    <row r="24" spans="1:16" ht="78.75" x14ac:dyDescent="0.25">
      <c r="A24" s="8">
        <v>19</v>
      </c>
      <c r="B24" s="7" t="s">
        <v>41</v>
      </c>
      <c r="C24" s="7" t="s">
        <v>29</v>
      </c>
      <c r="D24" s="10">
        <v>11503</v>
      </c>
      <c r="E24" s="67" t="str">
        <f>VLOOKUP(D:D,'[1]Production Plan '!$B$7:$C$426,2,0)</f>
        <v>1 Inch Dia UPVC Thread Pipe</v>
      </c>
      <c r="F24" s="68" t="str">
        <f>VLOOKUP(D24,'[2]Production Plan '!$B$7:$G$398,6,0)</f>
        <v>Green</v>
      </c>
      <c r="G24" s="69">
        <v>1170</v>
      </c>
      <c r="H24" s="70">
        <f>VLOOKUP(D:D,'[1]Production Plan '!$B:$F,5,0)</f>
        <v>1.65</v>
      </c>
      <c r="I24" s="69">
        <v>0</v>
      </c>
      <c r="J24" s="86">
        <f t="shared" si="3"/>
        <v>0</v>
      </c>
      <c r="K24" s="7">
        <f t="shared" si="0"/>
        <v>1930.5</v>
      </c>
      <c r="L24" s="72" t="str">
        <f>VLOOKUP(D:D,[3]Sheet1!$A:$G,7,0)</f>
        <v>Thread-Green</v>
      </c>
      <c r="M24" s="45"/>
      <c r="N24" s="17">
        <v>12</v>
      </c>
      <c r="O24" s="17">
        <f t="shared" si="1"/>
        <v>0</v>
      </c>
      <c r="P24" s="18"/>
    </row>
    <row r="25" spans="1:16" ht="78.75" x14ac:dyDescent="0.25">
      <c r="A25" s="8">
        <v>20</v>
      </c>
      <c r="B25" s="7" t="s">
        <v>42</v>
      </c>
      <c r="C25" s="7" t="s">
        <v>47</v>
      </c>
      <c r="D25" s="10">
        <v>13596</v>
      </c>
      <c r="E25" s="67" t="str">
        <f>VLOOKUP(D:D,'[1]Production Plan '!$B$7:$C$426,2,0)</f>
        <v>HDPE Coil Pipe DL Black 1 Inc x 500 ft</v>
      </c>
      <c r="F25" s="68" t="e">
        <f>VLOOKUP(D25,'[2]Production Plan '!$B$7:$G$398,6,0)</f>
        <v>#N/A</v>
      </c>
      <c r="G25" s="69">
        <v>19</v>
      </c>
      <c r="H25" s="70">
        <f>VLOOKUP(D:D,'[1]Production Plan '!$B:$F,5,0)</f>
        <v>35</v>
      </c>
      <c r="I25" s="87">
        <v>40</v>
      </c>
      <c r="J25" s="86">
        <f t="shared" si="3"/>
        <v>5.6737588652482268E-2</v>
      </c>
      <c r="K25" s="7">
        <f t="shared" si="0"/>
        <v>705</v>
      </c>
      <c r="L25" s="72"/>
      <c r="M25" s="45"/>
      <c r="N25" s="26">
        <v>12</v>
      </c>
      <c r="O25" s="26">
        <f>12-N25</f>
        <v>0</v>
      </c>
      <c r="P25" s="31"/>
    </row>
    <row r="26" spans="1:16" ht="110.25" x14ac:dyDescent="0.25">
      <c r="A26" s="8">
        <v>21</v>
      </c>
      <c r="B26" s="7" t="s">
        <v>43</v>
      </c>
      <c r="C26" s="7" t="s">
        <v>51</v>
      </c>
      <c r="D26" s="10">
        <v>11317</v>
      </c>
      <c r="E26" s="67" t="str">
        <f>VLOOKUP(D:D,'[1]Production Plan '!$B$7:$C$426,2,0)</f>
        <v>110mm Dia Upvc Pipe SWR-1 Special (White)</v>
      </c>
      <c r="F26" s="68" t="str">
        <f>VLOOKUP(D26,'[2]Production Plan '!$B$7:$G$398,6,0)</f>
        <v>White</v>
      </c>
      <c r="G26" s="69">
        <v>494</v>
      </c>
      <c r="H26" s="70">
        <f>VLOOKUP(D:D,'[1]Production Plan '!$B:$F,5,0)</f>
        <v>10</v>
      </c>
      <c r="I26" s="69">
        <v>95</v>
      </c>
      <c r="J26" s="71">
        <f t="shared" si="3"/>
        <v>1.8867924528301886E-2</v>
      </c>
      <c r="K26" s="7">
        <f t="shared" si="0"/>
        <v>5035</v>
      </c>
      <c r="L26" s="72" t="str">
        <f>VLOOKUP(D:D,[3]Sheet1!$A:$G,7,0)</f>
        <v>SWR-White</v>
      </c>
      <c r="M26" s="45"/>
      <c r="N26" s="17">
        <v>12</v>
      </c>
      <c r="O26" s="17">
        <f t="shared" si="1"/>
        <v>0</v>
      </c>
      <c r="P26" s="18"/>
    </row>
    <row r="27" spans="1:16" ht="94.5" x14ac:dyDescent="0.25">
      <c r="A27" s="8">
        <v>22</v>
      </c>
      <c r="B27" s="7" t="s">
        <v>44</v>
      </c>
      <c r="C27" s="7" t="s">
        <v>47</v>
      </c>
      <c r="D27" s="10">
        <v>13387</v>
      </c>
      <c r="E27" s="67" t="str">
        <f>VLOOKUP(D:D,'[1]Production Plan '!$B$7:$C$426,2,0)</f>
        <v>CPVC Pipe 3/4''(20mm)X3M-SDR-13.5</v>
      </c>
      <c r="F27" s="68" t="str">
        <f>VLOOKUP(D27,'[2]Production Plan '!$B$7:$G$398,6,0)</f>
        <v>Off White</v>
      </c>
      <c r="G27" s="69">
        <v>1160</v>
      </c>
      <c r="H27" s="70">
        <f>VLOOKUP(D:D,'[1]Production Plan '!$B:$F,5,0)</f>
        <v>0.55000000000000004</v>
      </c>
      <c r="I27" s="76">
        <v>18</v>
      </c>
      <c r="J27" s="71">
        <f t="shared" si="3"/>
        <v>2.7439024390243903E-2</v>
      </c>
      <c r="K27" s="7">
        <f t="shared" si="0"/>
        <v>656</v>
      </c>
      <c r="L27" s="72" t="str">
        <f>VLOOKUP(D:D,[3]Sheet1!$A:$G,7,0)</f>
        <v>Com..</v>
      </c>
      <c r="M27" s="45"/>
      <c r="N27" s="25">
        <v>12</v>
      </c>
      <c r="O27" s="25">
        <f>12-N27</f>
        <v>0</v>
      </c>
      <c r="P27" s="30"/>
    </row>
    <row r="28" spans="1:16" ht="15.75" x14ac:dyDescent="0.25">
      <c r="A28" s="8"/>
      <c r="B28" s="7"/>
      <c r="C28" s="7"/>
      <c r="D28" s="7"/>
      <c r="E28" s="67"/>
      <c r="F28" s="68"/>
      <c r="G28" s="7"/>
      <c r="H28" s="70"/>
      <c r="I28" s="83">
        <f>SUM(I6:I27)</f>
        <v>1086</v>
      </c>
      <c r="J28" s="83"/>
      <c r="K28" s="83">
        <f>SUM(K6:K27)</f>
        <v>24338.3</v>
      </c>
      <c r="L28" s="72"/>
      <c r="M28" s="45"/>
      <c r="N28" s="17"/>
      <c r="O28" s="17"/>
      <c r="P28" s="7"/>
    </row>
  </sheetData>
  <mergeCells count="14">
    <mergeCell ref="N11:N12"/>
    <mergeCell ref="O11:O12"/>
    <mergeCell ref="P11:P12"/>
    <mergeCell ref="I17:I19"/>
    <mergeCell ref="J17:J19"/>
    <mergeCell ref="N17:N19"/>
    <mergeCell ref="O17:O19"/>
    <mergeCell ref="P17:P19"/>
    <mergeCell ref="F1:J1"/>
    <mergeCell ref="F2:J2"/>
    <mergeCell ref="F3:L3"/>
    <mergeCell ref="M6:M28"/>
    <mergeCell ref="I11:I12"/>
    <mergeCell ref="J11:J12"/>
  </mergeCells>
  <conditionalFormatting sqref="E28 E6:E26">
    <cfRule type="duplicateValues" dxfId="19" priority="2"/>
  </conditionalFormatting>
  <conditionalFormatting sqref="E27">
    <cfRule type="duplicateValues" dxfId="18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27"/>
  <sheetViews>
    <sheetView topLeftCell="A16" workbookViewId="0">
      <selection activeCell="K28" sqref="K28"/>
    </sheetView>
  </sheetViews>
  <sheetFormatPr defaultRowHeight="15" x14ac:dyDescent="0.25"/>
  <cols>
    <col min="11" max="11" width="9.5703125" bestFit="1" customWidth="1"/>
  </cols>
  <sheetData>
    <row r="1" spans="1:16" ht="15.75" x14ac:dyDescent="0.25">
      <c r="A1" s="32"/>
      <c r="B1" s="32"/>
      <c r="C1" s="32"/>
      <c r="D1" s="32"/>
      <c r="E1" s="32"/>
      <c r="F1" s="43" t="s">
        <v>0</v>
      </c>
      <c r="G1" s="43"/>
      <c r="H1" s="43"/>
      <c r="I1" s="43"/>
      <c r="J1" s="43"/>
      <c r="K1" s="32"/>
      <c r="L1" s="32"/>
      <c r="M1" s="32"/>
      <c r="N1" s="32"/>
      <c r="O1" s="32"/>
      <c r="P1" s="32"/>
    </row>
    <row r="2" spans="1:16" ht="15.75" x14ac:dyDescent="0.25">
      <c r="A2" s="32"/>
      <c r="B2" s="1"/>
      <c r="C2" s="2"/>
      <c r="D2" s="32"/>
      <c r="E2" s="32"/>
      <c r="F2" s="43" t="s">
        <v>1</v>
      </c>
      <c r="G2" s="43"/>
      <c r="H2" s="43"/>
      <c r="I2" s="43"/>
      <c r="J2" s="43"/>
      <c r="K2" s="32"/>
      <c r="L2" s="32"/>
      <c r="M2" s="32"/>
      <c r="N2" s="3"/>
      <c r="O2" s="32"/>
      <c r="P2" s="32"/>
    </row>
    <row r="3" spans="1:16" ht="15.75" x14ac:dyDescent="0.25">
      <c r="A3" s="32"/>
      <c r="B3" s="32"/>
      <c r="C3" s="32"/>
      <c r="D3" s="32"/>
      <c r="E3" s="32"/>
      <c r="F3" s="44" t="s">
        <v>2</v>
      </c>
      <c r="G3" s="44"/>
      <c r="H3" s="44"/>
      <c r="I3" s="44"/>
      <c r="J3" s="44"/>
      <c r="K3" s="44"/>
      <c r="L3" s="44"/>
      <c r="M3" s="32"/>
      <c r="N3" s="32"/>
      <c r="O3" s="32"/>
      <c r="P3" s="32"/>
    </row>
    <row r="4" spans="1:16" ht="15.75" x14ac:dyDescent="0.25">
      <c r="A4" s="32"/>
      <c r="B4" s="32"/>
      <c r="C4" s="32"/>
      <c r="D4" s="32"/>
      <c r="E4" s="4" t="s">
        <v>121</v>
      </c>
      <c r="F4" s="32"/>
      <c r="G4" s="32"/>
      <c r="H4" s="32"/>
      <c r="I4" s="32"/>
      <c r="J4" s="32"/>
      <c r="K4" s="32"/>
      <c r="L4" s="5"/>
      <c r="M4" s="32"/>
      <c r="N4" s="32"/>
      <c r="O4" s="32"/>
      <c r="P4" s="6"/>
    </row>
    <row r="5" spans="1:16" ht="78.75" x14ac:dyDescent="0.25">
      <c r="A5" s="7" t="s">
        <v>3</v>
      </c>
      <c r="B5" s="7" t="s">
        <v>4</v>
      </c>
      <c r="C5" s="7" t="s">
        <v>5</v>
      </c>
      <c r="D5" s="7" t="s">
        <v>6</v>
      </c>
      <c r="E5" s="7" t="s">
        <v>7</v>
      </c>
      <c r="F5" s="7" t="s">
        <v>8</v>
      </c>
      <c r="G5" s="7" t="s">
        <v>9</v>
      </c>
      <c r="H5" s="7" t="s">
        <v>10</v>
      </c>
      <c r="I5" s="7" t="s">
        <v>11</v>
      </c>
      <c r="J5" s="7" t="s">
        <v>12</v>
      </c>
      <c r="K5" s="7" t="s">
        <v>13</v>
      </c>
      <c r="L5" s="7" t="s">
        <v>14</v>
      </c>
      <c r="M5" s="7" t="s">
        <v>15</v>
      </c>
      <c r="N5" s="7" t="s">
        <v>16</v>
      </c>
      <c r="O5" s="7" t="s">
        <v>17</v>
      </c>
      <c r="P5" s="7" t="s">
        <v>18</v>
      </c>
    </row>
    <row r="6" spans="1:16" ht="31.5" x14ac:dyDescent="0.25">
      <c r="A6" s="8">
        <v>1</v>
      </c>
      <c r="B6" s="9" t="s">
        <v>19</v>
      </c>
      <c r="C6" s="9"/>
      <c r="D6" s="10">
        <v>11141</v>
      </c>
      <c r="E6" s="11" t="str">
        <f>VLOOKUP(D:D,'[1]Production Plan '!$B$7:$C$426,2,0)</f>
        <v>4 Inch Upvc Pipe Star (Gray 20 Ft )</v>
      </c>
      <c r="F6" s="12" t="str">
        <f>VLOOKUP(D6,'[2]Production Plan '!$B$7:$G$398,6,0)</f>
        <v>Grey</v>
      </c>
      <c r="G6" s="13">
        <v>0</v>
      </c>
      <c r="H6" s="14">
        <f>VLOOKUP(D:D,'[1]Production Plan '!$B:$F,5,0)</f>
        <v>12.5</v>
      </c>
      <c r="I6" s="13">
        <v>0</v>
      </c>
      <c r="J6" s="16" t="e">
        <f>I6/(K6)</f>
        <v>#DIV/0!</v>
      </c>
      <c r="K6" s="9">
        <f>G6*H6+I6</f>
        <v>0</v>
      </c>
      <c r="L6" s="15" t="str">
        <f>VLOOKUP(D:D,[3]Sheet1!$A:$G,7,0)</f>
        <v>SWR-Grey</v>
      </c>
      <c r="M6" s="45">
        <f>I27/K27</f>
        <v>0.2458966854024745</v>
      </c>
      <c r="N6" s="17">
        <v>0</v>
      </c>
      <c r="O6" s="17">
        <f>6-N6</f>
        <v>6</v>
      </c>
      <c r="P6" s="18" t="s">
        <v>52</v>
      </c>
    </row>
    <row r="7" spans="1:16" ht="47.25" x14ac:dyDescent="0.25">
      <c r="A7" s="8">
        <v>2</v>
      </c>
      <c r="B7" s="9" t="s">
        <v>22</v>
      </c>
      <c r="C7" s="9" t="s">
        <v>104</v>
      </c>
      <c r="D7" s="10">
        <v>12947</v>
      </c>
      <c r="E7" s="11" t="str">
        <f>VLOOKUP(D:D,'[1]Production Plan '!$B$7:$C$426,2,0)</f>
        <v>18 Inch Dia Upvc Pipe Class-D</v>
      </c>
      <c r="F7" s="12" t="str">
        <f>VLOOKUP(D7,'[2]Production Plan '!$B$7:$G$398,6,0)</f>
        <v>Grey</v>
      </c>
      <c r="G7" s="13">
        <v>0</v>
      </c>
      <c r="H7" s="14">
        <f>VLOOKUP(D:D,'[1]Production Plan '!$B:$F,5,0)</f>
        <v>302</v>
      </c>
      <c r="I7" s="33">
        <v>1700</v>
      </c>
      <c r="J7" s="29">
        <f>I7/(K7)</f>
        <v>1</v>
      </c>
      <c r="K7" s="9">
        <f t="shared" ref="K7:K26" si="0">G7*H7+I7</f>
        <v>1700</v>
      </c>
      <c r="L7" s="15" t="e">
        <f>VLOOKUP(D:D,[3]Sheet1!$A:$G,7,0)</f>
        <v>#N/A</v>
      </c>
      <c r="M7" s="45"/>
      <c r="N7" s="25">
        <v>2</v>
      </c>
      <c r="O7" s="17">
        <f t="shared" ref="O7:O10" si="1">6-N7</f>
        <v>4</v>
      </c>
      <c r="P7" s="30" t="s">
        <v>125</v>
      </c>
    </row>
    <row r="8" spans="1:16" ht="31.5" x14ac:dyDescent="0.25">
      <c r="A8" s="8">
        <v>3</v>
      </c>
      <c r="B8" s="9" t="s">
        <v>24</v>
      </c>
      <c r="C8" s="19"/>
      <c r="D8" s="10">
        <v>11105</v>
      </c>
      <c r="E8" s="11" t="str">
        <f>VLOOKUP(D:D,'[1]Production Plan '!$B$7:$C$426,2,0)</f>
        <v>1 Inch Dia Upvc Pipe Class-D</v>
      </c>
      <c r="F8" s="12" t="str">
        <f>VLOOKUP(D8,'[2]Production Plan '!$B$7:$G$398,6,0)</f>
        <v>Grey</v>
      </c>
      <c r="G8" s="13">
        <v>0</v>
      </c>
      <c r="H8" s="14">
        <f>VLOOKUP(D:D,'[1]Production Plan '!$B:$F,5,0)</f>
        <v>0.85</v>
      </c>
      <c r="I8" s="13">
        <v>0</v>
      </c>
      <c r="J8" s="16" t="e">
        <f t="shared" ref="J8:J16" si="2">I8/(K8)</f>
        <v>#DIV/0!</v>
      </c>
      <c r="K8" s="9">
        <f t="shared" si="0"/>
        <v>0</v>
      </c>
      <c r="L8" s="15" t="str">
        <f>VLOOKUP(D:D,[3]Sheet1!$A:$G,7,0)</f>
        <v>STD-Grey</v>
      </c>
      <c r="M8" s="45"/>
      <c r="N8" s="17">
        <v>0</v>
      </c>
      <c r="O8" s="17">
        <f t="shared" si="1"/>
        <v>6</v>
      </c>
      <c r="P8" s="18" t="s">
        <v>52</v>
      </c>
    </row>
    <row r="9" spans="1:16" ht="15.75" x14ac:dyDescent="0.25">
      <c r="A9" s="8">
        <v>4</v>
      </c>
      <c r="B9" s="9" t="s">
        <v>25</v>
      </c>
      <c r="C9" s="19" t="s">
        <v>53</v>
      </c>
      <c r="D9" s="10">
        <v>11506</v>
      </c>
      <c r="E9" s="11" t="str">
        <f>VLOOKUP(D:D,'[1]Production Plan '!$B$7:$C$426,2,0)</f>
        <v>2 Inch Dia UPVC Thread Pipe</v>
      </c>
      <c r="F9" s="12" t="str">
        <f>VLOOKUP(D9,'[2]Production Plan '!$B$7:$G$398,6,0)</f>
        <v>Green</v>
      </c>
      <c r="G9" s="13">
        <v>150</v>
      </c>
      <c r="H9" s="14">
        <f>VLOOKUP(D:D,'[1]Production Plan '!$B:$F,5,0)</f>
        <v>3.9</v>
      </c>
      <c r="I9" s="27">
        <v>20</v>
      </c>
      <c r="J9" s="16">
        <f t="shared" si="2"/>
        <v>3.3057851239669422E-2</v>
      </c>
      <c r="K9" s="9">
        <f t="shared" si="0"/>
        <v>605</v>
      </c>
      <c r="L9" s="15" t="str">
        <f>VLOOKUP(D:D,[3]Sheet1!$A:$G,7,0)</f>
        <v>Thread-Green</v>
      </c>
      <c r="M9" s="45"/>
      <c r="N9" s="25">
        <v>6</v>
      </c>
      <c r="O9" s="17">
        <f t="shared" si="1"/>
        <v>0</v>
      </c>
      <c r="P9" s="30"/>
    </row>
    <row r="10" spans="1:16" ht="15.75" x14ac:dyDescent="0.25">
      <c r="A10" s="8">
        <v>5</v>
      </c>
      <c r="B10" s="22" t="s">
        <v>26</v>
      </c>
      <c r="C10" s="9" t="s">
        <v>57</v>
      </c>
      <c r="D10" s="10">
        <v>11108</v>
      </c>
      <c r="E10" s="11" t="str">
        <f>VLOOKUP(D:D,'[1]Production Plan '!$B$7:$C$426,2,0)</f>
        <v>1.5 Inch Dia UPVC Pipe Class-Economy</v>
      </c>
      <c r="F10" s="12" t="str">
        <f>VLOOKUP(D10,'[2]Production Plan '!$B$7:$G$398,6,0)</f>
        <v>White</v>
      </c>
      <c r="G10" s="13">
        <v>190</v>
      </c>
      <c r="H10" s="14">
        <f>VLOOKUP(D:D,'[1]Production Plan '!$B:$F,5,0)</f>
        <v>1.8</v>
      </c>
      <c r="I10" s="39">
        <v>30</v>
      </c>
      <c r="J10" s="41">
        <f t="shared" si="2"/>
        <v>8.0645161290322578E-2</v>
      </c>
      <c r="K10" s="9">
        <f t="shared" si="0"/>
        <v>372</v>
      </c>
      <c r="L10" s="15" t="str">
        <f>VLOOKUP(D:D,[3]Sheet1!$A:$G,7,0)</f>
        <v>Economy- White</v>
      </c>
      <c r="M10" s="45"/>
      <c r="N10" s="88">
        <v>6</v>
      </c>
      <c r="O10" s="88">
        <f t="shared" si="1"/>
        <v>0</v>
      </c>
      <c r="P10" s="37"/>
    </row>
    <row r="11" spans="1:16" ht="15.75" x14ac:dyDescent="0.25">
      <c r="A11" s="8">
        <v>6</v>
      </c>
      <c r="B11" s="22" t="s">
        <v>26</v>
      </c>
      <c r="C11" s="9" t="s">
        <v>21</v>
      </c>
      <c r="D11" s="10">
        <v>13359</v>
      </c>
      <c r="E11" s="11" t="str">
        <f>VLOOKUP(D:D,'[1]Production Plan '!$B$7:$C$426,2,0)</f>
        <v>uPVC Pipe 1.5 Inch x 15 Ft Class-Economy (S)</v>
      </c>
      <c r="F11" s="12" t="str">
        <f>VLOOKUP(D11,'[2]Production Plan '!$B$7:$G$398,6,0)</f>
        <v>White</v>
      </c>
      <c r="G11" s="13">
        <v>100</v>
      </c>
      <c r="H11" s="14">
        <f>VLOOKUP(D:D,'[1]Production Plan '!$B:$F,5,0)</f>
        <v>1.72</v>
      </c>
      <c r="I11" s="40"/>
      <c r="J11" s="42"/>
      <c r="K11" s="9">
        <f t="shared" si="0"/>
        <v>172</v>
      </c>
      <c r="L11" s="15" t="str">
        <f>VLOOKUP(D:D,[3]Sheet1!$A:$G,7,0)</f>
        <v>Special-White</v>
      </c>
      <c r="M11" s="45"/>
      <c r="N11" s="89"/>
      <c r="O11" s="89"/>
      <c r="P11" s="38"/>
    </row>
    <row r="12" spans="1:16" ht="15.75" x14ac:dyDescent="0.25">
      <c r="A12" s="8">
        <v>7</v>
      </c>
      <c r="B12" s="22" t="s">
        <v>28</v>
      </c>
      <c r="C12" s="20" t="s">
        <v>21</v>
      </c>
      <c r="D12" s="10">
        <v>11303</v>
      </c>
      <c r="E12" s="11" t="str">
        <f>VLOOKUP(D:D,'[1]Production Plan '!$B$7:$C$426,2,0)</f>
        <v>50mm Dia UPVC Pipe Class-ISO</v>
      </c>
      <c r="F12" s="12" t="str">
        <f>VLOOKUP(D12,'[2]Production Plan '!$B$7:$G$398,6,0)</f>
        <v>White</v>
      </c>
      <c r="G12" s="61">
        <v>200</v>
      </c>
      <c r="H12" s="14">
        <f>VLOOKUP(D:D,'[1]Production Plan '!$B:$F,5,0)</f>
        <v>2.2000000000000002</v>
      </c>
      <c r="I12" s="27">
        <v>36</v>
      </c>
      <c r="J12" s="29">
        <f t="shared" si="2"/>
        <v>7.5630252100840331E-2</v>
      </c>
      <c r="K12" s="9">
        <f t="shared" si="0"/>
        <v>476.00000000000006</v>
      </c>
      <c r="L12" s="15" t="str">
        <f>VLOOKUP(D:D,[3]Sheet1!$A:$G,7,0)</f>
        <v>SWR-White</v>
      </c>
      <c r="M12" s="45"/>
      <c r="N12" s="25">
        <v>6</v>
      </c>
      <c r="O12" s="25">
        <f>6-N12</f>
        <v>0</v>
      </c>
      <c r="P12" s="30"/>
    </row>
    <row r="13" spans="1:16" ht="126" x14ac:dyDescent="0.25">
      <c r="A13" s="8">
        <v>8</v>
      </c>
      <c r="B13" s="9" t="s">
        <v>30</v>
      </c>
      <c r="C13" s="9" t="s">
        <v>77</v>
      </c>
      <c r="D13" s="10">
        <v>11309</v>
      </c>
      <c r="E13" s="11" t="str">
        <f>VLOOKUP(D:D,'[1]Production Plan '!$B$7:$C$426,2,0)</f>
        <v>110mm Dia UPVC Pipe ISO-2</v>
      </c>
      <c r="F13" s="12" t="str">
        <f>VLOOKUP(D13,'[2]Production Plan '!$B$7:$G$398,6,0)</f>
        <v>White</v>
      </c>
      <c r="G13" s="13">
        <v>57</v>
      </c>
      <c r="H13" s="14">
        <f>VLOOKUP(D:D,'[1]Production Plan '!$B:$F,5,0)</f>
        <v>11</v>
      </c>
      <c r="I13" s="27">
        <v>162</v>
      </c>
      <c r="J13" s="16">
        <f t="shared" si="2"/>
        <v>0.20532319391634982</v>
      </c>
      <c r="K13" s="9">
        <f t="shared" si="0"/>
        <v>789</v>
      </c>
      <c r="L13" s="15" t="str">
        <f>VLOOKUP(D:D,[3]Sheet1!$A:$G,7,0)</f>
        <v>SWR-White</v>
      </c>
      <c r="M13" s="45"/>
      <c r="N13" s="25">
        <v>4</v>
      </c>
      <c r="O13" s="25">
        <f>6-N13</f>
        <v>2</v>
      </c>
      <c r="P13" s="30" t="s">
        <v>126</v>
      </c>
    </row>
    <row r="14" spans="1:16" ht="31.5" x14ac:dyDescent="0.25">
      <c r="A14" s="8">
        <v>9</v>
      </c>
      <c r="B14" s="9" t="s">
        <v>32</v>
      </c>
      <c r="C14" s="9"/>
      <c r="D14" s="10">
        <v>11335</v>
      </c>
      <c r="E14" s="11" t="str">
        <f>VLOOKUP(D:D,'[1]Production Plan '!$B$7:$C$426,2,0)</f>
        <v>160mm Dia Upvc PN-8 Pipe</v>
      </c>
      <c r="F14" s="12" t="str">
        <f>VLOOKUP(D14,'[2]Production Plan '!$B$7:$G$398,6,0)</f>
        <v>White</v>
      </c>
      <c r="G14" s="13">
        <v>0</v>
      </c>
      <c r="H14" s="14">
        <f>VLOOKUP(D:D,'[1]Production Plan '!$B:$F,5,0)</f>
        <v>26.6</v>
      </c>
      <c r="I14" s="13">
        <v>0</v>
      </c>
      <c r="J14" s="16" t="e">
        <f t="shared" si="2"/>
        <v>#DIV/0!</v>
      </c>
      <c r="K14" s="9">
        <f t="shared" si="0"/>
        <v>0</v>
      </c>
      <c r="L14" s="15" t="str">
        <f>VLOOKUP(D:D,[3]Sheet1!$A:$G,7,0)</f>
        <v>STD-White</v>
      </c>
      <c r="M14" s="45"/>
      <c r="N14" s="17">
        <v>0</v>
      </c>
      <c r="O14" s="25">
        <f t="shared" ref="O14:O16" si="3">6-N14</f>
        <v>6</v>
      </c>
      <c r="P14" s="18" t="s">
        <v>52</v>
      </c>
    </row>
    <row r="15" spans="1:16" ht="31.5" x14ac:dyDescent="0.25">
      <c r="A15" s="8">
        <v>10</v>
      </c>
      <c r="B15" s="9" t="s">
        <v>33</v>
      </c>
      <c r="C15" s="20"/>
      <c r="D15" s="10">
        <v>11325</v>
      </c>
      <c r="E15" s="11" t="str">
        <f>VLOOKUP(D:D,'[1]Production Plan '!$B$7:$C$426,2,0)</f>
        <v>110 mm Dia UPVC Pipe SWR-3</v>
      </c>
      <c r="F15" s="12" t="str">
        <f>VLOOKUP(D15,'[2]Production Plan '!$B$7:$G$398,6,0)</f>
        <v>White</v>
      </c>
      <c r="G15" s="13">
        <v>0</v>
      </c>
      <c r="H15" s="14">
        <f>VLOOKUP(D:D,'[1]Production Plan '!$B:$F,5,0)</f>
        <v>12.9</v>
      </c>
      <c r="I15" s="13">
        <v>0</v>
      </c>
      <c r="J15" s="16" t="e">
        <f t="shared" si="2"/>
        <v>#DIV/0!</v>
      </c>
      <c r="K15" s="9">
        <f t="shared" si="0"/>
        <v>0</v>
      </c>
      <c r="L15" s="15" t="str">
        <f>VLOOKUP(D:D,[3]Sheet1!$A:$G,7,0)</f>
        <v>SWR-White</v>
      </c>
      <c r="M15" s="45"/>
      <c r="N15" s="17">
        <v>0</v>
      </c>
      <c r="O15" s="25">
        <f t="shared" si="3"/>
        <v>6</v>
      </c>
      <c r="P15" s="18" t="s">
        <v>52</v>
      </c>
    </row>
    <row r="16" spans="1:16" ht="15.75" x14ac:dyDescent="0.25">
      <c r="A16" s="8">
        <v>11</v>
      </c>
      <c r="B16" s="9" t="s">
        <v>34</v>
      </c>
      <c r="C16" s="20" t="s">
        <v>53</v>
      </c>
      <c r="D16" s="10">
        <v>11502</v>
      </c>
      <c r="E16" s="11" t="str">
        <f>VLOOKUP(D:D,'[1]Production Plan '!$B$7:$C$426,2,0)</f>
        <v>0.75 Inch Dia UPVC Thread Pipe</v>
      </c>
      <c r="F16" s="12" t="str">
        <f>VLOOKUP(D16,'[2]Production Plan '!$B$7:$G$398,6,0)</f>
        <v>Green</v>
      </c>
      <c r="G16" s="13">
        <v>340</v>
      </c>
      <c r="H16" s="14">
        <f>VLOOKUP(D:D,'[1]Production Plan '!$B:$F,5,0)</f>
        <v>1.24</v>
      </c>
      <c r="I16" s="13">
        <v>10</v>
      </c>
      <c r="J16" s="16">
        <f t="shared" si="2"/>
        <v>2.3169601482854494E-2</v>
      </c>
      <c r="K16" s="9">
        <f t="shared" si="0"/>
        <v>431.6</v>
      </c>
      <c r="L16" s="15" t="str">
        <f>VLOOKUP(D:D,[3]Sheet1!$A:$G,7,0)</f>
        <v>Thread-Green</v>
      </c>
      <c r="M16" s="45"/>
      <c r="N16" s="17">
        <v>6</v>
      </c>
      <c r="O16" s="25">
        <f t="shared" si="3"/>
        <v>0</v>
      </c>
      <c r="P16" s="18"/>
    </row>
    <row r="17" spans="1:16" ht="15.75" x14ac:dyDescent="0.25">
      <c r="A17" s="8">
        <v>12</v>
      </c>
      <c r="B17" s="9" t="s">
        <v>35</v>
      </c>
      <c r="C17" s="9" t="s">
        <v>62</v>
      </c>
      <c r="D17" s="10">
        <v>11391</v>
      </c>
      <c r="E17" s="11" t="str">
        <f>VLOOKUP(D:D,'[1]Production Plan '!$B$7:$C$426,2,0)</f>
        <v>4 Inch Dia UPVC Pipe Class-D SPL</v>
      </c>
      <c r="F17" s="12" t="str">
        <f>VLOOKUP(D17,'[2]Production Plan '!$B$7:$G$398,6,0)</f>
        <v>Grey</v>
      </c>
      <c r="G17" s="13">
        <v>73</v>
      </c>
      <c r="H17" s="14">
        <f>VLOOKUP(D:D,'[1]Production Plan '!$B:$F,5,0)</f>
        <v>20</v>
      </c>
      <c r="I17" s="39">
        <v>150</v>
      </c>
      <c r="J17" s="41">
        <f>I17/(K17+K18)</f>
        <v>9.3167701863354033E-2</v>
      </c>
      <c r="K17" s="9">
        <f t="shared" si="0"/>
        <v>1610</v>
      </c>
      <c r="L17" s="15" t="str">
        <f>VLOOKUP(D:D,[3]Sheet1!$A:$G,7,0)</f>
        <v>Three Layer</v>
      </c>
      <c r="M17" s="45"/>
      <c r="N17" s="88">
        <v>6</v>
      </c>
      <c r="O17" s="88">
        <f>6-N17</f>
        <v>0</v>
      </c>
      <c r="P17" s="37"/>
    </row>
    <row r="18" spans="1:16" ht="15.75" x14ac:dyDescent="0.25">
      <c r="A18" s="8">
        <v>13</v>
      </c>
      <c r="B18" s="9" t="s">
        <v>35</v>
      </c>
      <c r="C18" s="9" t="s">
        <v>21</v>
      </c>
      <c r="D18" s="10">
        <v>11399</v>
      </c>
      <c r="E18" s="11" t="str">
        <f>VLOOKUP(D:D,'[1]Production Plan '!$B$7:$C$426,2,0)</f>
        <v>4 Inch Dia Upvc Pipe Class -D SPL Filter</v>
      </c>
      <c r="F18" s="12" t="str">
        <f>VLOOKUP(D18,'[2]Production Plan '!$B$7:$G$398,6,0)</f>
        <v>Grey</v>
      </c>
      <c r="G18" s="13">
        <v>0</v>
      </c>
      <c r="H18" s="14">
        <f>VLOOKUP(D:D,'[1]Production Plan '!$B:$F,5,0)</f>
        <v>10</v>
      </c>
      <c r="I18" s="40"/>
      <c r="J18" s="42"/>
      <c r="K18" s="9">
        <f t="shared" si="0"/>
        <v>0</v>
      </c>
      <c r="L18" s="15" t="str">
        <f>VLOOKUP(D:D,[3]Sheet1!$A:$G,7,0)</f>
        <v xml:space="preserve">Three Layer </v>
      </c>
      <c r="M18" s="45"/>
      <c r="N18" s="89"/>
      <c r="O18" s="89"/>
      <c r="P18" s="38"/>
    </row>
    <row r="19" spans="1:16" ht="31.5" x14ac:dyDescent="0.25">
      <c r="A19" s="8">
        <v>14</v>
      </c>
      <c r="B19" s="9" t="s">
        <v>36</v>
      </c>
      <c r="C19" s="9" t="s">
        <v>31</v>
      </c>
      <c r="D19" s="10">
        <v>11346</v>
      </c>
      <c r="E19" s="11" t="str">
        <f>VLOOKUP(D:D,'[1]Production Plan '!$B$7:$C$426,2,0)</f>
        <v>200 MM Dia UPVC Pipe SWR-2</v>
      </c>
      <c r="F19" s="12" t="str">
        <f>VLOOKUP(D19,'[2]Production Plan '!$B$7:$G$398,6,0)</f>
        <v>White</v>
      </c>
      <c r="G19" s="13">
        <f>21</f>
        <v>21</v>
      </c>
      <c r="H19" s="14">
        <f>VLOOKUP(D:D,'[1]Production Plan '!$B:$F,5,0)</f>
        <v>35.200000000000003</v>
      </c>
      <c r="I19" s="27">
        <v>350</v>
      </c>
      <c r="J19" s="29">
        <f t="shared" ref="J19:J26" si="4">I19/(K19)</f>
        <v>0.32133676092544988</v>
      </c>
      <c r="K19" s="9">
        <f t="shared" si="0"/>
        <v>1089.2</v>
      </c>
      <c r="L19" s="15" t="str">
        <f>VLOOKUP(D:D,[3]Sheet1!$A:$G,7,0)</f>
        <v>SWR-White</v>
      </c>
      <c r="M19" s="45"/>
      <c r="N19" s="25">
        <v>5</v>
      </c>
      <c r="O19" s="25">
        <f>6-N19</f>
        <v>1</v>
      </c>
      <c r="P19" s="30" t="s">
        <v>127</v>
      </c>
    </row>
    <row r="20" spans="1:16" ht="15.75" x14ac:dyDescent="0.25">
      <c r="A20" s="8">
        <v>15</v>
      </c>
      <c r="B20" s="9" t="s">
        <v>38</v>
      </c>
      <c r="C20" s="9" t="s">
        <v>21</v>
      </c>
      <c r="D20" s="10">
        <v>12934</v>
      </c>
      <c r="E20" s="11" t="str">
        <f>VLOOKUP(D:D,'[1]Production Plan '!$B$7:$C$426,2,0)</f>
        <v>110 mm Dia Upvc Pipe SWR-3 SPL</v>
      </c>
      <c r="F20" s="12" t="str">
        <f>VLOOKUP(D20,'[2]Production Plan '!$B$7:$G$398,6,0)</f>
        <v>White</v>
      </c>
      <c r="G20" s="13">
        <v>47</v>
      </c>
      <c r="H20" s="14">
        <f>VLOOKUP(D:D,'[1]Production Plan '!$B:$F,5,0)</f>
        <v>12.7</v>
      </c>
      <c r="I20" s="27">
        <v>0</v>
      </c>
      <c r="J20" s="29">
        <f t="shared" si="4"/>
        <v>0</v>
      </c>
      <c r="K20" s="9">
        <f t="shared" si="0"/>
        <v>596.9</v>
      </c>
      <c r="L20" s="15" t="str">
        <f>VLOOKUP(D:D,[3]Sheet1!$A:$G,7,0)</f>
        <v>SWR-White</v>
      </c>
      <c r="M20" s="45"/>
      <c r="N20" s="25">
        <v>6</v>
      </c>
      <c r="O20" s="25">
        <f t="shared" ref="O20:O26" si="5">6-N20</f>
        <v>0</v>
      </c>
      <c r="P20" s="30"/>
    </row>
    <row r="21" spans="1:16" ht="78.75" x14ac:dyDescent="0.25">
      <c r="A21" s="8">
        <v>16</v>
      </c>
      <c r="B21" s="9" t="s">
        <v>39</v>
      </c>
      <c r="C21" s="9" t="s">
        <v>79</v>
      </c>
      <c r="D21" s="10">
        <v>11304</v>
      </c>
      <c r="E21" s="11" t="str">
        <f>VLOOKUP(D:D,'[1]Production Plan '!$B$7:$C$426,2,0)</f>
        <v>80mm Dia Upvc Pipe SWR-0</v>
      </c>
      <c r="F21" s="12" t="str">
        <f>VLOOKUP(D21,'[2]Production Plan '!$B$7:$G$398,6,0)</f>
        <v>White</v>
      </c>
      <c r="G21" s="13">
        <v>73</v>
      </c>
      <c r="H21" s="14">
        <f>VLOOKUP(D:D,'[1]Production Plan '!$B:$F,5,0)</f>
        <v>5.8</v>
      </c>
      <c r="I21" s="27">
        <v>140</v>
      </c>
      <c r="J21" s="29">
        <f t="shared" si="4"/>
        <v>0.24849130280440185</v>
      </c>
      <c r="K21" s="9">
        <f t="shared" si="0"/>
        <v>563.4</v>
      </c>
      <c r="L21" s="15" t="str">
        <f>VLOOKUP(D:D,[3]Sheet1!$A:$G,7,0)</f>
        <v>SWR-White</v>
      </c>
      <c r="M21" s="45"/>
      <c r="N21" s="25">
        <v>4</v>
      </c>
      <c r="O21" s="25">
        <f t="shared" si="5"/>
        <v>2</v>
      </c>
      <c r="P21" s="30" t="s">
        <v>128</v>
      </c>
    </row>
    <row r="22" spans="1:16" ht="31.5" x14ac:dyDescent="0.25">
      <c r="A22" s="8">
        <v>17</v>
      </c>
      <c r="B22" s="9" t="s">
        <v>40</v>
      </c>
      <c r="C22" s="9"/>
      <c r="D22" s="10">
        <v>13397</v>
      </c>
      <c r="E22" s="11" t="str">
        <f>VLOOKUP(D:D,'[1]Production Plan '!$B$7:$C$426,2,0)</f>
        <v>1.5 Inch Dia Upvc Pipe Class D-SP (Br)</v>
      </c>
      <c r="F22" s="12" t="str">
        <f>VLOOKUP(D22,'[2]Production Plan '!$B$7:$G$398,6,0)</f>
        <v>Grey</v>
      </c>
      <c r="G22" s="13">
        <v>0</v>
      </c>
      <c r="H22" s="14">
        <f>VLOOKUP(D:D,'[1]Production Plan '!$B:$F,5,0)</f>
        <v>2.85</v>
      </c>
      <c r="I22" s="13">
        <v>0</v>
      </c>
      <c r="J22" s="29" t="e">
        <f t="shared" si="4"/>
        <v>#DIV/0!</v>
      </c>
      <c r="K22" s="9">
        <f t="shared" si="0"/>
        <v>0</v>
      </c>
      <c r="L22" s="15" t="str">
        <f>VLOOKUP(D:D,[3]Sheet1!$A:$G,7,0)</f>
        <v>STD-Grey</v>
      </c>
      <c r="M22" s="45"/>
      <c r="N22" s="17">
        <v>0</v>
      </c>
      <c r="O22" s="25">
        <f t="shared" si="5"/>
        <v>6</v>
      </c>
      <c r="P22" s="18" t="s">
        <v>52</v>
      </c>
    </row>
    <row r="23" spans="1:16" ht="15.75" x14ac:dyDescent="0.25">
      <c r="A23" s="8">
        <v>18</v>
      </c>
      <c r="B23" s="9" t="s">
        <v>41</v>
      </c>
      <c r="C23" s="9" t="s">
        <v>53</v>
      </c>
      <c r="D23" s="10">
        <v>11503</v>
      </c>
      <c r="E23" s="11" t="str">
        <f>VLOOKUP(D:D,'[1]Production Plan '!$B$7:$C$426,2,0)</f>
        <v>1 Inch Dia UPVC Thread Pipe</v>
      </c>
      <c r="F23" s="12" t="str">
        <f>VLOOKUP(D23,'[2]Production Plan '!$B$7:$G$398,6,0)</f>
        <v>Green</v>
      </c>
      <c r="G23" s="13">
        <v>440</v>
      </c>
      <c r="H23" s="14">
        <f>VLOOKUP(D:D,'[1]Production Plan '!$B:$F,5,0)</f>
        <v>1.65</v>
      </c>
      <c r="I23" s="13">
        <v>0</v>
      </c>
      <c r="J23" s="62">
        <f t="shared" si="4"/>
        <v>0</v>
      </c>
      <c r="K23" s="9">
        <f t="shared" si="0"/>
        <v>726</v>
      </c>
      <c r="L23" s="15" t="str">
        <f>VLOOKUP(D:D,[3]Sheet1!$A:$G,7,0)</f>
        <v>Thread-Green</v>
      </c>
      <c r="M23" s="45"/>
      <c r="N23" s="17">
        <v>6</v>
      </c>
      <c r="O23" s="25">
        <f t="shared" si="5"/>
        <v>0</v>
      </c>
      <c r="P23" s="18"/>
    </row>
    <row r="24" spans="1:16" ht="31.5" x14ac:dyDescent="0.25">
      <c r="A24" s="8">
        <v>19</v>
      </c>
      <c r="B24" s="9" t="s">
        <v>42</v>
      </c>
      <c r="C24" s="9" t="s">
        <v>46</v>
      </c>
      <c r="D24" s="10">
        <v>13596</v>
      </c>
      <c r="E24" s="11" t="str">
        <f>VLOOKUP(D:D,'[1]Production Plan '!$B$7:$C$426,2,0)</f>
        <v>HDPE Coil Pipe DL Black 1 Inc x 500 ft</v>
      </c>
      <c r="F24" s="12" t="e">
        <f>VLOOKUP(D24,'[2]Production Plan '!$B$7:$G$398,6,0)</f>
        <v>#N/A</v>
      </c>
      <c r="G24" s="13">
        <v>7</v>
      </c>
      <c r="H24" s="14">
        <f>VLOOKUP(D:D,'[1]Production Plan '!$B:$F,5,0)</f>
        <v>35</v>
      </c>
      <c r="I24" s="28">
        <v>80</v>
      </c>
      <c r="J24" s="62">
        <f t="shared" si="4"/>
        <v>0.24615384615384617</v>
      </c>
      <c r="K24" s="9">
        <f t="shared" si="0"/>
        <v>325</v>
      </c>
      <c r="L24" s="15" t="e">
        <f>VLOOKUP(D:D,[3]Sheet1!$A:$G,7,0)</f>
        <v>#N/A</v>
      </c>
      <c r="M24" s="45"/>
      <c r="N24" s="26">
        <v>3</v>
      </c>
      <c r="O24" s="25">
        <f t="shared" si="5"/>
        <v>3</v>
      </c>
      <c r="P24" s="31" t="s">
        <v>55</v>
      </c>
    </row>
    <row r="25" spans="1:16" ht="15.75" x14ac:dyDescent="0.25">
      <c r="A25" s="8">
        <v>20</v>
      </c>
      <c r="B25" s="9" t="s">
        <v>43</v>
      </c>
      <c r="C25" s="9" t="s">
        <v>54</v>
      </c>
      <c r="D25" s="10">
        <v>11317</v>
      </c>
      <c r="E25" s="11" t="str">
        <f>VLOOKUP(D:D,'[1]Production Plan '!$B$7:$C$426,2,0)</f>
        <v>110mm Dia Upvc Pipe SWR-1 Special (White)</v>
      </c>
      <c r="F25" s="12" t="str">
        <f>VLOOKUP(D25,'[2]Production Plan '!$B$7:$G$398,6,0)</f>
        <v>White</v>
      </c>
      <c r="G25" s="13">
        <v>189</v>
      </c>
      <c r="H25" s="14">
        <f>VLOOKUP(D:D,'[1]Production Plan '!$B:$F,5,0)</f>
        <v>10</v>
      </c>
      <c r="I25" s="13">
        <v>170</v>
      </c>
      <c r="J25" s="16">
        <f t="shared" si="4"/>
        <v>8.2524271844660199E-2</v>
      </c>
      <c r="K25" s="9">
        <f t="shared" si="0"/>
        <v>2060</v>
      </c>
      <c r="L25" s="15" t="str">
        <f>VLOOKUP(D:D,[3]Sheet1!$A:$G,7,0)</f>
        <v>SWR-White</v>
      </c>
      <c r="M25" s="45"/>
      <c r="N25" s="17">
        <v>6</v>
      </c>
      <c r="O25" s="25">
        <f t="shared" si="5"/>
        <v>0</v>
      </c>
      <c r="P25" s="18"/>
    </row>
    <row r="26" spans="1:16" ht="31.5" x14ac:dyDescent="0.25">
      <c r="A26" s="8">
        <v>21</v>
      </c>
      <c r="B26" s="9" t="s">
        <v>44</v>
      </c>
      <c r="C26" s="9" t="s">
        <v>46</v>
      </c>
      <c r="D26" s="10">
        <v>13387</v>
      </c>
      <c r="E26" s="11" t="str">
        <f>VLOOKUP(D:D,'[1]Production Plan '!$B$7:$C$426,2,0)</f>
        <v>CPVC Pipe 3/4''(20mm)X3M-SDR-13.5</v>
      </c>
      <c r="F26" s="12" t="str">
        <f>VLOOKUP(D26,'[2]Production Plan '!$B$7:$G$398,6,0)</f>
        <v>Off White</v>
      </c>
      <c r="G26" s="13">
        <v>120</v>
      </c>
      <c r="H26" s="14">
        <f>VLOOKUP(D:D,'[1]Production Plan '!$B:$F,5,0)</f>
        <v>0.55000000000000004</v>
      </c>
      <c r="I26" s="27">
        <v>0</v>
      </c>
      <c r="J26" s="16">
        <f t="shared" si="4"/>
        <v>0</v>
      </c>
      <c r="K26" s="9">
        <f t="shared" si="0"/>
        <v>66</v>
      </c>
      <c r="L26" s="15" t="str">
        <f>VLOOKUP(D:D,[3]Sheet1!$A:$G,7,0)</f>
        <v>Com..</v>
      </c>
      <c r="M26" s="45"/>
      <c r="N26" s="25">
        <v>2</v>
      </c>
      <c r="O26" s="25">
        <f t="shared" si="5"/>
        <v>4</v>
      </c>
      <c r="P26" s="30" t="s">
        <v>55</v>
      </c>
    </row>
    <row r="27" spans="1:16" ht="15.75" x14ac:dyDescent="0.25">
      <c r="A27" s="8"/>
      <c r="B27" s="9"/>
      <c r="C27" s="9"/>
      <c r="D27" s="9"/>
      <c r="E27" s="11"/>
      <c r="F27" s="12"/>
      <c r="G27" s="7"/>
      <c r="H27" s="14"/>
      <c r="I27" s="21">
        <f>SUM(I6:I26)</f>
        <v>2848</v>
      </c>
      <c r="J27" s="21"/>
      <c r="K27" s="21">
        <f>SUM(K6:K26)</f>
        <v>11582.1</v>
      </c>
      <c r="L27" s="15"/>
      <c r="M27" s="45"/>
      <c r="N27" s="17"/>
      <c r="O27" s="17"/>
      <c r="P27" s="9"/>
    </row>
  </sheetData>
  <mergeCells count="10">
    <mergeCell ref="P10:P11"/>
    <mergeCell ref="I17:I18"/>
    <mergeCell ref="J17:J18"/>
    <mergeCell ref="P17:P18"/>
    <mergeCell ref="F1:J1"/>
    <mergeCell ref="F2:J2"/>
    <mergeCell ref="F3:L3"/>
    <mergeCell ref="M6:M27"/>
    <mergeCell ref="I10:I11"/>
    <mergeCell ref="J10:J11"/>
  </mergeCells>
  <conditionalFormatting sqref="E27 E6:E25">
    <cfRule type="duplicateValues" dxfId="17" priority="2"/>
  </conditionalFormatting>
  <conditionalFormatting sqref="E26">
    <cfRule type="duplicateValues" dxfId="16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P27"/>
  <sheetViews>
    <sheetView topLeftCell="A19" workbookViewId="0">
      <selection activeCell="K28" sqref="K28"/>
    </sheetView>
  </sheetViews>
  <sheetFormatPr defaultRowHeight="15" x14ac:dyDescent="0.25"/>
  <cols>
    <col min="11" max="11" width="9.5703125" bestFit="1" customWidth="1"/>
  </cols>
  <sheetData>
    <row r="1" spans="1:16" ht="15.75" x14ac:dyDescent="0.25">
      <c r="A1" s="32"/>
      <c r="B1" s="32"/>
      <c r="C1" s="32"/>
      <c r="D1" s="32"/>
      <c r="E1" s="32"/>
      <c r="F1" s="43" t="s">
        <v>0</v>
      </c>
      <c r="G1" s="43"/>
      <c r="H1" s="43"/>
      <c r="I1" s="43"/>
      <c r="J1" s="43"/>
      <c r="K1" s="32"/>
      <c r="L1" s="32"/>
      <c r="M1" s="32"/>
      <c r="N1" s="32"/>
      <c r="O1" s="32"/>
      <c r="P1" s="32"/>
    </row>
    <row r="2" spans="1:16" ht="15.75" x14ac:dyDescent="0.25">
      <c r="A2" s="32"/>
      <c r="B2" s="1"/>
      <c r="C2" s="2"/>
      <c r="D2" s="32"/>
      <c r="E2" s="32"/>
      <c r="F2" s="43" t="s">
        <v>1</v>
      </c>
      <c r="G2" s="43"/>
      <c r="H2" s="43"/>
      <c r="I2" s="43"/>
      <c r="J2" s="43"/>
      <c r="K2" s="32"/>
      <c r="L2" s="32"/>
      <c r="M2" s="32"/>
      <c r="N2" s="3"/>
      <c r="O2" s="32"/>
      <c r="P2" s="32"/>
    </row>
    <row r="3" spans="1:16" ht="15.75" x14ac:dyDescent="0.25">
      <c r="A3" s="32"/>
      <c r="B3" s="32"/>
      <c r="C3" s="32"/>
      <c r="D3" s="32"/>
      <c r="E3" s="32"/>
      <c r="F3" s="44" t="s">
        <v>2</v>
      </c>
      <c r="G3" s="44"/>
      <c r="H3" s="44"/>
      <c r="I3" s="44"/>
      <c r="J3" s="44"/>
      <c r="K3" s="44"/>
      <c r="L3" s="44"/>
      <c r="M3" s="32"/>
      <c r="N3" s="32"/>
      <c r="O3" s="32"/>
      <c r="P3" s="32"/>
    </row>
    <row r="4" spans="1:16" ht="15.75" x14ac:dyDescent="0.25">
      <c r="A4" s="32"/>
      <c r="B4" s="32"/>
      <c r="C4" s="32"/>
      <c r="D4" s="32"/>
      <c r="E4" s="4" t="s">
        <v>129</v>
      </c>
      <c r="F4" s="32"/>
      <c r="G4" s="32"/>
      <c r="H4" s="32"/>
      <c r="I4" s="32"/>
      <c r="J4" s="32"/>
      <c r="K4" s="32"/>
      <c r="L4" s="5"/>
      <c r="M4" s="32"/>
      <c r="N4" s="32"/>
      <c r="O4" s="32"/>
      <c r="P4" s="6"/>
    </row>
    <row r="5" spans="1:16" ht="78.75" x14ac:dyDescent="0.25">
      <c r="A5" s="7" t="s">
        <v>3</v>
      </c>
      <c r="B5" s="7" t="s">
        <v>4</v>
      </c>
      <c r="C5" s="7" t="s">
        <v>5</v>
      </c>
      <c r="D5" s="7" t="s">
        <v>6</v>
      </c>
      <c r="E5" s="7" t="s">
        <v>7</v>
      </c>
      <c r="F5" s="7" t="s">
        <v>8</v>
      </c>
      <c r="G5" s="7" t="s">
        <v>9</v>
      </c>
      <c r="H5" s="7" t="s">
        <v>10</v>
      </c>
      <c r="I5" s="7" t="s">
        <v>11</v>
      </c>
      <c r="J5" s="7" t="s">
        <v>12</v>
      </c>
      <c r="K5" s="7" t="s">
        <v>13</v>
      </c>
      <c r="L5" s="7" t="s">
        <v>14</v>
      </c>
      <c r="M5" s="7" t="s">
        <v>15</v>
      </c>
      <c r="N5" s="7" t="s">
        <v>16</v>
      </c>
      <c r="O5" s="7" t="s">
        <v>17</v>
      </c>
      <c r="P5" s="7" t="s">
        <v>18</v>
      </c>
    </row>
    <row r="6" spans="1:16" ht="31.5" x14ac:dyDescent="0.25">
      <c r="A6" s="8">
        <v>1</v>
      </c>
      <c r="B6" s="9" t="s">
        <v>19</v>
      </c>
      <c r="C6" s="9"/>
      <c r="D6" s="10">
        <v>11141</v>
      </c>
      <c r="E6" s="11" t="str">
        <f>VLOOKUP(D:D,'[1]Production Plan '!$B$7:$C$426,2,0)</f>
        <v>4 Inch Upvc Pipe Star (Gray 20 Ft )</v>
      </c>
      <c r="F6" s="12" t="str">
        <f>VLOOKUP(D6,'[2]Production Plan '!$B$7:$G$398,6,0)</f>
        <v>Grey</v>
      </c>
      <c r="G6" s="13">
        <v>0</v>
      </c>
      <c r="H6" s="14">
        <f>VLOOKUP(D:D,'[1]Production Plan '!$B:$F,5,0)</f>
        <v>12.5</v>
      </c>
      <c r="I6" s="13">
        <v>0</v>
      </c>
      <c r="J6" s="16" t="e">
        <f>I6/(K6)</f>
        <v>#DIV/0!</v>
      </c>
      <c r="K6" s="9">
        <f>G6*H6+I6</f>
        <v>0</v>
      </c>
      <c r="L6" s="15" t="str">
        <f>VLOOKUP(D:D,[3]Sheet1!$A:$G,7,0)</f>
        <v>SWR-Grey</v>
      </c>
      <c r="M6" s="45">
        <f>I27/K27</f>
        <v>8.8145120081757802E-2</v>
      </c>
      <c r="N6" s="17">
        <v>0</v>
      </c>
      <c r="O6" s="17">
        <f>8-N6</f>
        <v>8</v>
      </c>
      <c r="P6" s="18" t="s">
        <v>52</v>
      </c>
    </row>
    <row r="7" spans="1:16" ht="15.75" x14ac:dyDescent="0.25">
      <c r="A7" s="8">
        <v>2</v>
      </c>
      <c r="B7" s="9" t="s">
        <v>22</v>
      </c>
      <c r="C7" s="9" t="s">
        <v>23</v>
      </c>
      <c r="D7" s="10">
        <v>12947</v>
      </c>
      <c r="E7" s="11" t="str">
        <f>VLOOKUP(D:D,'[1]Production Plan '!$B$7:$C$426,2,0)</f>
        <v>18 Inch Dia Upvc Pipe Class-D</v>
      </c>
      <c r="F7" s="12" t="str">
        <f>VLOOKUP(D7,'[2]Production Plan '!$B$7:$G$398,6,0)</f>
        <v>Grey</v>
      </c>
      <c r="G7" s="13">
        <v>0</v>
      </c>
      <c r="H7" s="14">
        <f>VLOOKUP(D:D,'[1]Production Plan '!$B:$F,5,0)</f>
        <v>302</v>
      </c>
      <c r="I7" s="33">
        <v>450</v>
      </c>
      <c r="J7" s="29">
        <f>I7/(K7)</f>
        <v>1</v>
      </c>
      <c r="K7" s="9">
        <f t="shared" ref="K7:K26" si="0">G7*H7+I7</f>
        <v>450</v>
      </c>
      <c r="L7" s="15" t="e">
        <f>VLOOKUP(D:D,[3]Sheet1!$A:$G,7,0)</f>
        <v>#N/A</v>
      </c>
      <c r="M7" s="45"/>
      <c r="N7" s="25">
        <v>8</v>
      </c>
      <c r="O7" s="17">
        <f t="shared" ref="O7:O15" si="1">8-N7</f>
        <v>0</v>
      </c>
      <c r="P7" s="30"/>
    </row>
    <row r="8" spans="1:16" ht="31.5" x14ac:dyDescent="0.25">
      <c r="A8" s="8">
        <v>3</v>
      </c>
      <c r="B8" s="9" t="s">
        <v>24</v>
      </c>
      <c r="C8" s="19"/>
      <c r="D8" s="10">
        <v>11105</v>
      </c>
      <c r="E8" s="11" t="str">
        <f>VLOOKUP(D:D,'[1]Production Plan '!$B$7:$C$426,2,0)</f>
        <v>1 Inch Dia Upvc Pipe Class-D</v>
      </c>
      <c r="F8" s="12" t="str">
        <f>VLOOKUP(D8,'[2]Production Plan '!$B$7:$G$398,6,0)</f>
        <v>Grey</v>
      </c>
      <c r="G8" s="13">
        <v>0</v>
      </c>
      <c r="H8" s="14">
        <f>VLOOKUP(D:D,'[1]Production Plan '!$B:$F,5,0)</f>
        <v>0.85</v>
      </c>
      <c r="I8" s="13">
        <v>0</v>
      </c>
      <c r="J8" s="16" t="e">
        <f t="shared" ref="J8:J15" si="2">I8/(K8)</f>
        <v>#DIV/0!</v>
      </c>
      <c r="K8" s="9">
        <f t="shared" si="0"/>
        <v>0</v>
      </c>
      <c r="L8" s="15" t="str">
        <f>VLOOKUP(D:D,[3]Sheet1!$A:$G,7,0)</f>
        <v>STD-Grey</v>
      </c>
      <c r="M8" s="45"/>
      <c r="N8" s="17">
        <v>0</v>
      </c>
      <c r="O8" s="17">
        <f t="shared" si="1"/>
        <v>8</v>
      </c>
      <c r="P8" s="18" t="s">
        <v>52</v>
      </c>
    </row>
    <row r="9" spans="1:16" ht="15.75" x14ac:dyDescent="0.25">
      <c r="A9" s="8">
        <v>4</v>
      </c>
      <c r="B9" s="9" t="s">
        <v>25</v>
      </c>
      <c r="C9" s="19" t="s">
        <v>130</v>
      </c>
      <c r="D9" s="10">
        <v>11506</v>
      </c>
      <c r="E9" s="11" t="str">
        <f>VLOOKUP(D:D,'[1]Production Plan '!$B$7:$C$426,2,0)</f>
        <v>2 Inch Dia UPVC Thread Pipe</v>
      </c>
      <c r="F9" s="12" t="str">
        <f>VLOOKUP(D9,'[2]Production Plan '!$B$7:$G$398,6,0)</f>
        <v>Green</v>
      </c>
      <c r="G9" s="13">
        <v>285</v>
      </c>
      <c r="H9" s="14">
        <f>VLOOKUP(D:D,'[1]Production Plan '!$B:$F,5,0)</f>
        <v>3.9</v>
      </c>
      <c r="I9" s="27">
        <v>30</v>
      </c>
      <c r="J9" s="16">
        <f t="shared" si="2"/>
        <v>2.6281208935611037E-2</v>
      </c>
      <c r="K9" s="9">
        <f t="shared" si="0"/>
        <v>1141.5</v>
      </c>
      <c r="L9" s="15" t="str">
        <f>VLOOKUP(D:D,[3]Sheet1!$A:$G,7,0)</f>
        <v>Thread-Green</v>
      </c>
      <c r="M9" s="45"/>
      <c r="N9" s="25">
        <v>8</v>
      </c>
      <c r="O9" s="17">
        <f t="shared" si="1"/>
        <v>0</v>
      </c>
      <c r="P9" s="30"/>
    </row>
    <row r="10" spans="1:16" ht="31.5" x14ac:dyDescent="0.25">
      <c r="A10" s="8">
        <v>5</v>
      </c>
      <c r="B10" s="22" t="s">
        <v>26</v>
      </c>
      <c r="C10" s="9" t="s">
        <v>27</v>
      </c>
      <c r="D10" s="10">
        <v>13359</v>
      </c>
      <c r="E10" s="11" t="str">
        <f>VLOOKUP(D:D,'[1]Production Plan '!$B$7:$C$426,2,0)</f>
        <v>uPVC Pipe 1.5 Inch x 15 Ft Class-Economy (S)</v>
      </c>
      <c r="F10" s="12" t="str">
        <f>VLOOKUP(D10,'[2]Production Plan '!$B$7:$G$398,6,0)</f>
        <v>White</v>
      </c>
      <c r="G10" s="13">
        <v>420</v>
      </c>
      <c r="H10" s="14">
        <f>VLOOKUP(D:D,'[1]Production Plan '!$B:$F,5,0)</f>
        <v>1.72</v>
      </c>
      <c r="I10" s="27">
        <v>192</v>
      </c>
      <c r="J10" s="29">
        <f t="shared" si="2"/>
        <v>0.20997375328083989</v>
      </c>
      <c r="K10" s="9">
        <f t="shared" si="0"/>
        <v>914.4</v>
      </c>
      <c r="L10" s="15" t="str">
        <f>VLOOKUP(D:D,[3]Sheet1!$A:$G,7,0)</f>
        <v>Special-White</v>
      </c>
      <c r="M10" s="45"/>
      <c r="N10" s="25">
        <v>7</v>
      </c>
      <c r="O10" s="17">
        <f t="shared" si="1"/>
        <v>1</v>
      </c>
      <c r="P10" s="30" t="s">
        <v>131</v>
      </c>
    </row>
    <row r="11" spans="1:16" ht="15.75" x14ac:dyDescent="0.25">
      <c r="A11" s="8">
        <v>6</v>
      </c>
      <c r="B11" s="22" t="s">
        <v>28</v>
      </c>
      <c r="C11" s="20" t="s">
        <v>132</v>
      </c>
      <c r="D11" s="10">
        <v>11303</v>
      </c>
      <c r="E11" s="11" t="str">
        <f>VLOOKUP(D:D,'[1]Production Plan '!$B$7:$C$426,2,0)</f>
        <v>50mm Dia UPVC Pipe Class-ISO</v>
      </c>
      <c r="F11" s="12" t="str">
        <f>VLOOKUP(D11,'[2]Production Plan '!$B$7:$G$398,6,0)</f>
        <v>White</v>
      </c>
      <c r="G11" s="61">
        <v>330</v>
      </c>
      <c r="H11" s="14">
        <f>VLOOKUP(D:D,'[1]Production Plan '!$B:$F,5,0)</f>
        <v>2.2000000000000002</v>
      </c>
      <c r="I11" s="27">
        <v>0</v>
      </c>
      <c r="J11" s="29">
        <f t="shared" si="2"/>
        <v>0</v>
      </c>
      <c r="K11" s="9">
        <f t="shared" si="0"/>
        <v>726.00000000000011</v>
      </c>
      <c r="L11" s="15" t="str">
        <f>VLOOKUP(D:D,[3]Sheet1!$A:$G,7,0)</f>
        <v>SWR-White</v>
      </c>
      <c r="M11" s="45"/>
      <c r="N11" s="25">
        <v>8</v>
      </c>
      <c r="O11" s="17">
        <f>8-N11</f>
        <v>0</v>
      </c>
      <c r="P11" s="30"/>
    </row>
    <row r="12" spans="1:16" ht="15.75" x14ac:dyDescent="0.25">
      <c r="A12" s="8">
        <v>7</v>
      </c>
      <c r="B12" s="9" t="s">
        <v>30</v>
      </c>
      <c r="C12" s="9" t="s">
        <v>50</v>
      </c>
      <c r="D12" s="10">
        <v>11309</v>
      </c>
      <c r="E12" s="11" t="str">
        <f>VLOOKUP(D:D,'[1]Production Plan '!$B$7:$C$426,2,0)</f>
        <v>110mm Dia UPVC Pipe ISO-2</v>
      </c>
      <c r="F12" s="12" t="str">
        <f>VLOOKUP(D12,'[2]Production Plan '!$B$7:$G$398,6,0)</f>
        <v>White</v>
      </c>
      <c r="G12" s="13">
        <v>68</v>
      </c>
      <c r="H12" s="14">
        <f>VLOOKUP(D:D,'[1]Production Plan '!$B:$F,5,0)</f>
        <v>11</v>
      </c>
      <c r="I12" s="27">
        <v>66</v>
      </c>
      <c r="J12" s="16">
        <f t="shared" si="2"/>
        <v>8.1081081081081086E-2</v>
      </c>
      <c r="K12" s="9">
        <f t="shared" si="0"/>
        <v>814</v>
      </c>
      <c r="L12" s="15" t="str">
        <f>VLOOKUP(D:D,[3]Sheet1!$A:$G,7,0)</f>
        <v>SWR-White</v>
      </c>
      <c r="M12" s="45"/>
      <c r="N12" s="25">
        <v>8</v>
      </c>
      <c r="O12" s="17">
        <f t="shared" si="1"/>
        <v>0</v>
      </c>
      <c r="P12" s="30"/>
    </row>
    <row r="13" spans="1:16" ht="31.5" x14ac:dyDescent="0.25">
      <c r="A13" s="8">
        <v>8</v>
      </c>
      <c r="B13" s="9" t="s">
        <v>32</v>
      </c>
      <c r="C13" s="9"/>
      <c r="D13" s="10">
        <v>11335</v>
      </c>
      <c r="E13" s="11" t="str">
        <f>VLOOKUP(D:D,'[1]Production Plan '!$B$7:$C$426,2,0)</f>
        <v>160mm Dia Upvc PN-8 Pipe</v>
      </c>
      <c r="F13" s="12" t="str">
        <f>VLOOKUP(D13,'[2]Production Plan '!$B$7:$G$398,6,0)</f>
        <v>White</v>
      </c>
      <c r="G13" s="13">
        <v>0</v>
      </c>
      <c r="H13" s="14">
        <f>VLOOKUP(D:D,'[1]Production Plan '!$B:$F,5,0)</f>
        <v>26.6</v>
      </c>
      <c r="I13" s="13">
        <v>0</v>
      </c>
      <c r="J13" s="16" t="e">
        <f t="shared" si="2"/>
        <v>#DIV/0!</v>
      </c>
      <c r="K13" s="9">
        <f t="shared" si="0"/>
        <v>0</v>
      </c>
      <c r="L13" s="15" t="str">
        <f>VLOOKUP(D:D,[3]Sheet1!$A:$G,7,0)</f>
        <v>STD-White</v>
      </c>
      <c r="M13" s="45"/>
      <c r="N13" s="17">
        <v>0</v>
      </c>
      <c r="O13" s="17">
        <f t="shared" si="1"/>
        <v>8</v>
      </c>
      <c r="P13" s="18" t="s">
        <v>52</v>
      </c>
    </row>
    <row r="14" spans="1:16" ht="31.5" x14ac:dyDescent="0.25">
      <c r="A14" s="8">
        <v>9</v>
      </c>
      <c r="B14" s="9" t="s">
        <v>33</v>
      </c>
      <c r="C14" s="20"/>
      <c r="D14" s="10">
        <v>11325</v>
      </c>
      <c r="E14" s="11" t="str">
        <f>VLOOKUP(D:D,'[1]Production Plan '!$B$7:$C$426,2,0)</f>
        <v>110 mm Dia UPVC Pipe SWR-3</v>
      </c>
      <c r="F14" s="12" t="str">
        <f>VLOOKUP(D14,'[2]Production Plan '!$B$7:$G$398,6,0)</f>
        <v>White</v>
      </c>
      <c r="G14" s="13">
        <v>0</v>
      </c>
      <c r="H14" s="14">
        <f>VLOOKUP(D:D,'[1]Production Plan '!$B:$F,5,0)</f>
        <v>12.9</v>
      </c>
      <c r="I14" s="13">
        <v>0</v>
      </c>
      <c r="J14" s="16" t="e">
        <f t="shared" si="2"/>
        <v>#DIV/0!</v>
      </c>
      <c r="K14" s="9">
        <f t="shared" si="0"/>
        <v>0</v>
      </c>
      <c r="L14" s="15" t="str">
        <f>VLOOKUP(D:D,[3]Sheet1!$A:$G,7,0)</f>
        <v>SWR-White</v>
      </c>
      <c r="M14" s="45"/>
      <c r="N14" s="17">
        <v>0</v>
      </c>
      <c r="O14" s="17">
        <f t="shared" si="1"/>
        <v>8</v>
      </c>
      <c r="P14" s="18" t="s">
        <v>52</v>
      </c>
    </row>
    <row r="15" spans="1:16" ht="15.75" x14ac:dyDescent="0.25">
      <c r="A15" s="8">
        <v>10</v>
      </c>
      <c r="B15" s="9" t="s">
        <v>34</v>
      </c>
      <c r="C15" s="20" t="s">
        <v>130</v>
      </c>
      <c r="D15" s="10">
        <v>11502</v>
      </c>
      <c r="E15" s="11" t="str">
        <f>VLOOKUP(D:D,'[1]Production Plan '!$B$7:$C$426,2,0)</f>
        <v>0.75 Inch Dia UPVC Thread Pipe</v>
      </c>
      <c r="F15" s="12" t="str">
        <f>VLOOKUP(D15,'[2]Production Plan '!$B$7:$G$398,6,0)</f>
        <v>Green</v>
      </c>
      <c r="G15" s="13">
        <v>120</v>
      </c>
      <c r="H15" s="14">
        <f>VLOOKUP(D:D,'[1]Production Plan '!$B:$F,5,0)</f>
        <v>1.24</v>
      </c>
      <c r="I15" s="13">
        <v>28</v>
      </c>
      <c r="J15" s="16">
        <f t="shared" si="2"/>
        <v>0.15837104072398189</v>
      </c>
      <c r="K15" s="9">
        <f t="shared" si="0"/>
        <v>176.8</v>
      </c>
      <c r="L15" s="15" t="str">
        <f>VLOOKUP(D:D,[3]Sheet1!$A:$G,7,0)</f>
        <v>Thread-Green</v>
      </c>
      <c r="M15" s="45"/>
      <c r="N15" s="17">
        <v>8</v>
      </c>
      <c r="O15" s="17">
        <f t="shared" si="1"/>
        <v>0</v>
      </c>
      <c r="P15" s="18"/>
    </row>
    <row r="16" spans="1:16" ht="15.75" x14ac:dyDescent="0.25">
      <c r="A16" s="8">
        <v>11</v>
      </c>
      <c r="B16" s="9" t="s">
        <v>35</v>
      </c>
      <c r="C16" s="9" t="s">
        <v>133</v>
      </c>
      <c r="D16" s="10">
        <v>11391</v>
      </c>
      <c r="E16" s="11" t="str">
        <f>VLOOKUP(D:D,'[1]Production Plan '!$B$7:$C$426,2,0)</f>
        <v>4 Inch Dia UPVC Pipe Class-D SPL</v>
      </c>
      <c r="F16" s="12" t="str">
        <f>VLOOKUP(D16,'[2]Production Plan '!$B$7:$G$398,6,0)</f>
        <v>Grey</v>
      </c>
      <c r="G16" s="13">
        <v>0</v>
      </c>
      <c r="H16" s="14">
        <f>VLOOKUP(D:D,'[1]Production Plan '!$B:$F,5,0)</f>
        <v>20</v>
      </c>
      <c r="I16" s="39">
        <v>138</v>
      </c>
      <c r="J16" s="41">
        <f>I16/(K16+K17)</f>
        <v>7.5081610446137106E-2</v>
      </c>
      <c r="K16" s="9">
        <f t="shared" si="0"/>
        <v>138</v>
      </c>
      <c r="L16" s="15" t="str">
        <f>VLOOKUP(D:D,[3]Sheet1!$A:$G,7,0)</f>
        <v>Three Layer</v>
      </c>
      <c r="M16" s="45"/>
      <c r="N16" s="88">
        <v>8</v>
      </c>
      <c r="O16" s="88">
        <f>8-N16</f>
        <v>0</v>
      </c>
      <c r="P16" s="37"/>
    </row>
    <row r="17" spans="1:16" ht="15.75" x14ac:dyDescent="0.25">
      <c r="A17" s="8">
        <v>12</v>
      </c>
      <c r="B17" s="9" t="s">
        <v>35</v>
      </c>
      <c r="C17" s="9" t="s">
        <v>21</v>
      </c>
      <c r="D17" s="10">
        <v>11399</v>
      </c>
      <c r="E17" s="11" t="str">
        <f>VLOOKUP(D:D,'[1]Production Plan '!$B$7:$C$426,2,0)</f>
        <v>4 Inch Dia Upvc Pipe Class -D SPL Filter</v>
      </c>
      <c r="F17" s="12" t="str">
        <f>VLOOKUP(D17,'[2]Production Plan '!$B$7:$G$398,6,0)</f>
        <v>Grey</v>
      </c>
      <c r="G17" s="13">
        <v>170</v>
      </c>
      <c r="H17" s="14">
        <f>VLOOKUP(D:D,'[1]Production Plan '!$B:$F,5,0)</f>
        <v>10</v>
      </c>
      <c r="I17" s="40"/>
      <c r="J17" s="42"/>
      <c r="K17" s="9">
        <f t="shared" si="0"/>
        <v>1700</v>
      </c>
      <c r="L17" s="15" t="str">
        <f>VLOOKUP(D:D,[3]Sheet1!$A:$G,7,0)</f>
        <v xml:space="preserve">Three Layer </v>
      </c>
      <c r="M17" s="45"/>
      <c r="N17" s="89"/>
      <c r="O17" s="89"/>
      <c r="P17" s="38"/>
    </row>
    <row r="18" spans="1:16" ht="15.75" x14ac:dyDescent="0.25">
      <c r="A18" s="8">
        <v>13</v>
      </c>
      <c r="B18" s="9" t="s">
        <v>36</v>
      </c>
      <c r="C18" s="9" t="s">
        <v>37</v>
      </c>
      <c r="D18" s="10">
        <v>11346</v>
      </c>
      <c r="E18" s="11" t="str">
        <f>VLOOKUP(D:D,'[1]Production Plan '!$B$7:$C$426,2,0)</f>
        <v>200 MM Dia UPVC Pipe SWR-2</v>
      </c>
      <c r="F18" s="12" t="str">
        <f>VLOOKUP(D18,'[2]Production Plan '!$B$7:$G$398,6,0)</f>
        <v>White</v>
      </c>
      <c r="G18" s="13">
        <v>30</v>
      </c>
      <c r="H18" s="14">
        <f>VLOOKUP(D:D,'[1]Production Plan '!$B:$F,5,0)</f>
        <v>35.200000000000003</v>
      </c>
      <c r="I18" s="39">
        <v>179</v>
      </c>
      <c r="J18" s="41">
        <f t="shared" ref="J18:J26" si="3">I18/(K18)</f>
        <v>0.14493927125506073</v>
      </c>
      <c r="K18" s="9">
        <f t="shared" si="0"/>
        <v>1235</v>
      </c>
      <c r="L18" s="15" t="str">
        <f>VLOOKUP(D:D,[3]Sheet1!$A:$G,7,0)</f>
        <v>SWR-White</v>
      </c>
      <c r="M18" s="45"/>
      <c r="N18" s="88">
        <v>5</v>
      </c>
      <c r="O18" s="88">
        <f>8-N18</f>
        <v>3</v>
      </c>
      <c r="P18" s="37" t="s">
        <v>55</v>
      </c>
    </row>
    <row r="19" spans="1:16" ht="15.75" x14ac:dyDescent="0.25">
      <c r="A19" s="8">
        <v>14</v>
      </c>
      <c r="B19" s="9" t="s">
        <v>36</v>
      </c>
      <c r="C19" s="9" t="s">
        <v>21</v>
      </c>
      <c r="D19" s="10">
        <v>11347</v>
      </c>
      <c r="E19" s="11" t="str">
        <f>VLOOKUP(D:D,'[1]Production Plan '!$B$7:$C$426,2,0)</f>
        <v>200 mm Dia Upvc Pipe -Spl (2.7)</v>
      </c>
      <c r="F19" s="12" t="str">
        <f>VLOOKUP(D19,'[2]Production Plan '!$B$7:$G$398,6,0)</f>
        <v>Grey</v>
      </c>
      <c r="G19" s="13">
        <v>27</v>
      </c>
      <c r="H19" s="14">
        <f>VLOOKUP(D:D,'[1]Production Plan '!$B:$F,5,0)</f>
        <v>19.2</v>
      </c>
      <c r="I19" s="40"/>
      <c r="J19" s="42"/>
      <c r="K19" s="9">
        <f t="shared" si="0"/>
        <v>518.4</v>
      </c>
      <c r="L19" s="15" t="str">
        <f>VLOOKUP(D:D,[3]Sheet1!$A:$G,7,0)</f>
        <v>SWR-Grey</v>
      </c>
      <c r="M19" s="45"/>
      <c r="N19" s="89"/>
      <c r="O19" s="89"/>
      <c r="P19" s="38"/>
    </row>
    <row r="20" spans="1:16" ht="15.75" x14ac:dyDescent="0.25">
      <c r="A20" s="8">
        <v>15</v>
      </c>
      <c r="B20" s="9" t="s">
        <v>38</v>
      </c>
      <c r="C20" s="9" t="s">
        <v>89</v>
      </c>
      <c r="D20" s="10">
        <v>12934</v>
      </c>
      <c r="E20" s="11" t="str">
        <f>VLOOKUP(D:D,'[1]Production Plan '!$B$7:$C$426,2,0)</f>
        <v>110 mm Dia Upvc Pipe SWR-3 SPL</v>
      </c>
      <c r="F20" s="12" t="str">
        <f>VLOOKUP(D20,'[2]Production Plan '!$B$7:$G$398,6,0)</f>
        <v>White</v>
      </c>
      <c r="G20" s="13">
        <v>148</v>
      </c>
      <c r="H20" s="14">
        <f>VLOOKUP(D:D,'[1]Production Plan '!$B:$F,5,0)</f>
        <v>12.7</v>
      </c>
      <c r="I20" s="27">
        <v>70</v>
      </c>
      <c r="J20" s="29">
        <f t="shared" si="3"/>
        <v>3.5904800984817402E-2</v>
      </c>
      <c r="K20" s="9">
        <f t="shared" si="0"/>
        <v>1949.6</v>
      </c>
      <c r="L20" s="15" t="str">
        <f>VLOOKUP(D:D,[3]Sheet1!$A:$G,7,0)</f>
        <v>SWR-White</v>
      </c>
      <c r="M20" s="45"/>
      <c r="N20" s="25">
        <v>8</v>
      </c>
      <c r="O20" s="25">
        <f t="shared" ref="O20:O26" si="4">8-N20</f>
        <v>0</v>
      </c>
      <c r="P20" s="30"/>
    </row>
    <row r="21" spans="1:16" ht="94.5" x14ac:dyDescent="0.25">
      <c r="A21" s="8">
        <v>16</v>
      </c>
      <c r="B21" s="9" t="s">
        <v>39</v>
      </c>
      <c r="C21" s="9" t="s">
        <v>134</v>
      </c>
      <c r="D21" s="10">
        <v>11304</v>
      </c>
      <c r="E21" s="11" t="str">
        <f>VLOOKUP(D:D,'[1]Production Plan '!$B$7:$C$426,2,0)</f>
        <v>80mm Dia Upvc Pipe SWR-0</v>
      </c>
      <c r="F21" s="12" t="str">
        <f>VLOOKUP(D21,'[2]Production Plan '!$B$7:$G$398,6,0)</f>
        <v>White</v>
      </c>
      <c r="G21" s="13">
        <v>0</v>
      </c>
      <c r="H21" s="14">
        <f>VLOOKUP(D:D,'[1]Production Plan '!$B:$F,5,0)</f>
        <v>5.8</v>
      </c>
      <c r="I21" s="27">
        <v>0</v>
      </c>
      <c r="J21" s="29" t="e">
        <f t="shared" si="3"/>
        <v>#DIV/0!</v>
      </c>
      <c r="K21" s="9">
        <f t="shared" si="0"/>
        <v>0</v>
      </c>
      <c r="L21" s="15" t="str">
        <f>VLOOKUP(D:D,[3]Sheet1!$A:$G,7,0)</f>
        <v>SWR-White</v>
      </c>
      <c r="M21" s="45"/>
      <c r="N21" s="25">
        <v>0</v>
      </c>
      <c r="O21" s="25">
        <f t="shared" si="4"/>
        <v>8</v>
      </c>
      <c r="P21" s="30" t="s">
        <v>135</v>
      </c>
    </row>
    <row r="22" spans="1:16" ht="31.5" x14ac:dyDescent="0.25">
      <c r="A22" s="8">
        <v>17</v>
      </c>
      <c r="B22" s="9" t="s">
        <v>40</v>
      </c>
      <c r="C22" s="9"/>
      <c r="D22" s="10">
        <v>13397</v>
      </c>
      <c r="E22" s="11" t="str">
        <f>VLOOKUP(D:D,'[1]Production Plan '!$B$7:$C$426,2,0)</f>
        <v>1.5 Inch Dia Upvc Pipe Class D-SP (Br)</v>
      </c>
      <c r="F22" s="12" t="str">
        <f>VLOOKUP(D22,'[2]Production Plan '!$B$7:$G$398,6,0)</f>
        <v>Grey</v>
      </c>
      <c r="G22" s="13">
        <v>0</v>
      </c>
      <c r="H22" s="14">
        <f>VLOOKUP(D:D,'[1]Production Plan '!$B:$F,5,0)</f>
        <v>2.85</v>
      </c>
      <c r="I22" s="13">
        <v>0</v>
      </c>
      <c r="J22" s="29" t="e">
        <f t="shared" si="3"/>
        <v>#DIV/0!</v>
      </c>
      <c r="K22" s="9">
        <f t="shared" si="0"/>
        <v>0</v>
      </c>
      <c r="L22" s="15" t="str">
        <f>VLOOKUP(D:D,[3]Sheet1!$A:$G,7,0)</f>
        <v>STD-Grey</v>
      </c>
      <c r="M22" s="45"/>
      <c r="N22" s="17">
        <v>0</v>
      </c>
      <c r="O22" s="25">
        <f t="shared" si="4"/>
        <v>8</v>
      </c>
      <c r="P22" s="18" t="s">
        <v>52</v>
      </c>
    </row>
    <row r="23" spans="1:16" ht="15.75" x14ac:dyDescent="0.25">
      <c r="A23" s="8">
        <v>18</v>
      </c>
      <c r="B23" s="9" t="s">
        <v>41</v>
      </c>
      <c r="C23" s="9" t="s">
        <v>136</v>
      </c>
      <c r="D23" s="10">
        <v>11503</v>
      </c>
      <c r="E23" s="11" t="str">
        <f>VLOOKUP(D:D,'[1]Production Plan '!$B$7:$C$426,2,0)</f>
        <v>1 Inch Dia UPVC Thread Pipe</v>
      </c>
      <c r="F23" s="12" t="str">
        <f>VLOOKUP(D23,'[2]Production Plan '!$B$7:$G$398,6,0)</f>
        <v>Green</v>
      </c>
      <c r="G23" s="13">
        <v>630</v>
      </c>
      <c r="H23" s="14">
        <f>VLOOKUP(D:D,'[1]Production Plan '!$B:$F,5,0)</f>
        <v>1.65</v>
      </c>
      <c r="I23" s="13">
        <v>48</v>
      </c>
      <c r="J23" s="62">
        <f t="shared" si="3"/>
        <v>4.4137931034482755E-2</v>
      </c>
      <c r="K23" s="9">
        <f t="shared" si="0"/>
        <v>1087.5</v>
      </c>
      <c r="L23" s="15" t="str">
        <f>VLOOKUP(D:D,[3]Sheet1!$A:$G,7,0)</f>
        <v>Thread-Green</v>
      </c>
      <c r="M23" s="45"/>
      <c r="N23" s="17">
        <v>8</v>
      </c>
      <c r="O23" s="25">
        <f t="shared" si="4"/>
        <v>0</v>
      </c>
      <c r="P23" s="18"/>
    </row>
    <row r="24" spans="1:16" ht="63" x14ac:dyDescent="0.25">
      <c r="A24" s="8">
        <v>19</v>
      </c>
      <c r="B24" s="9" t="s">
        <v>42</v>
      </c>
      <c r="C24" s="9" t="s">
        <v>137</v>
      </c>
      <c r="D24" s="10">
        <v>12571</v>
      </c>
      <c r="E24" s="11" t="str">
        <f>VLOOKUP(D:D,'[1]Production Plan '!$B$7:$C$426,2,0)</f>
        <v>1.25 Inc HDPE Coil Pipe-Green</v>
      </c>
      <c r="F24" s="12" t="str">
        <f>VLOOKUP(D24,'[2]Production Plan '!$B$7:$G$398,6,0)</f>
        <v>Green</v>
      </c>
      <c r="G24" s="13">
        <v>2</v>
      </c>
      <c r="H24" s="14">
        <f>VLOOKUP(D:D,'[1]Production Plan '!$B:$F,5,0)</f>
        <v>46</v>
      </c>
      <c r="I24" s="28">
        <v>40</v>
      </c>
      <c r="J24" s="62">
        <f t="shared" si="3"/>
        <v>0.30303030303030304</v>
      </c>
      <c r="K24" s="9">
        <f t="shared" si="0"/>
        <v>132</v>
      </c>
      <c r="L24" s="15" t="str">
        <f>VLOOKUP(D:D,[3]Sheet1!$A:$G,7,0)</f>
        <v>HDPE D/L Green</v>
      </c>
      <c r="M24" s="45"/>
      <c r="N24" s="26">
        <v>0</v>
      </c>
      <c r="O24" s="25">
        <f t="shared" si="4"/>
        <v>8</v>
      </c>
      <c r="P24" s="31" t="s">
        <v>138</v>
      </c>
    </row>
    <row r="25" spans="1:16" ht="15.75" x14ac:dyDescent="0.25">
      <c r="A25" s="8">
        <v>20</v>
      </c>
      <c r="B25" s="9" t="s">
        <v>43</v>
      </c>
      <c r="C25" s="9" t="s">
        <v>51</v>
      </c>
      <c r="D25" s="10">
        <v>11317</v>
      </c>
      <c r="E25" s="11" t="str">
        <f>VLOOKUP(D:D,'[1]Production Plan '!$B$7:$C$426,2,0)</f>
        <v>110mm Dia Upvc Pipe SWR-1 Special (White)</v>
      </c>
      <c r="F25" s="12" t="str">
        <f>VLOOKUP(D25,'[2]Production Plan '!$B$7:$G$398,6,0)</f>
        <v>White</v>
      </c>
      <c r="G25" s="13">
        <v>337</v>
      </c>
      <c r="H25" s="14">
        <f>VLOOKUP(D:D,'[1]Production Plan '!$B:$F,5,0)</f>
        <v>10</v>
      </c>
      <c r="I25" s="13">
        <v>30</v>
      </c>
      <c r="J25" s="16">
        <f t="shared" si="3"/>
        <v>8.8235294117647058E-3</v>
      </c>
      <c r="K25" s="9">
        <f t="shared" si="0"/>
        <v>3400</v>
      </c>
      <c r="L25" s="15" t="str">
        <f>VLOOKUP(D:D,[3]Sheet1!$A:$G,7,0)</f>
        <v>SWR-White</v>
      </c>
      <c r="M25" s="45"/>
      <c r="N25" s="17">
        <v>8</v>
      </c>
      <c r="O25" s="25">
        <f t="shared" si="4"/>
        <v>0</v>
      </c>
      <c r="P25" s="18"/>
    </row>
    <row r="26" spans="1:16" ht="31.5" x14ac:dyDescent="0.25">
      <c r="A26" s="8">
        <v>21</v>
      </c>
      <c r="B26" s="9" t="s">
        <v>44</v>
      </c>
      <c r="C26" s="9" t="s">
        <v>137</v>
      </c>
      <c r="D26" s="10">
        <v>13390</v>
      </c>
      <c r="E26" s="11" t="str">
        <f>VLOOKUP(D:D,'[1]Production Plan '!$B$7:$C$426,2,0)</f>
        <v>CPVC Pipe 1.5''(40mm)X3M-SDR-13.5</v>
      </c>
      <c r="F26" s="12" t="str">
        <f>VLOOKUP(D26,'[2]Production Plan '!$B$7:$G$398,6,0)</f>
        <v>Off White</v>
      </c>
      <c r="G26" s="13">
        <v>250</v>
      </c>
      <c r="H26" s="14">
        <f>VLOOKUP(D:D,'[1]Production Plan '!$B:$F,5,0)</f>
        <v>1.8</v>
      </c>
      <c r="I26" s="27">
        <v>40</v>
      </c>
      <c r="J26" s="16">
        <f t="shared" si="3"/>
        <v>8.1632653061224483E-2</v>
      </c>
      <c r="K26" s="9">
        <f t="shared" si="0"/>
        <v>490</v>
      </c>
      <c r="L26" s="15" t="str">
        <f>VLOOKUP(D:D,[3]Sheet1!$A:$G,7,0)</f>
        <v>Com..</v>
      </c>
      <c r="M26" s="45"/>
      <c r="N26" s="25">
        <v>6</v>
      </c>
      <c r="O26" s="25">
        <f t="shared" si="4"/>
        <v>2</v>
      </c>
      <c r="P26" s="30" t="s">
        <v>139</v>
      </c>
    </row>
    <row r="27" spans="1:16" ht="15.75" x14ac:dyDescent="0.25">
      <c r="A27" s="8"/>
      <c r="B27" s="9"/>
      <c r="C27" s="9"/>
      <c r="D27" s="9"/>
      <c r="E27" s="11"/>
      <c r="F27" s="12"/>
      <c r="G27" s="7"/>
      <c r="H27" s="14"/>
      <c r="I27" s="21">
        <f>SUM(I6:I26)</f>
        <v>1311</v>
      </c>
      <c r="J27" s="21"/>
      <c r="K27" s="21">
        <f>SUM(K6:K26)</f>
        <v>14873.199999999999</v>
      </c>
      <c r="L27" s="15"/>
      <c r="M27" s="45"/>
      <c r="N27" s="17"/>
      <c r="O27" s="17"/>
      <c r="P27" s="9"/>
    </row>
  </sheetData>
  <mergeCells count="10">
    <mergeCell ref="P16:P17"/>
    <mergeCell ref="I18:I19"/>
    <mergeCell ref="J18:J19"/>
    <mergeCell ref="P18:P19"/>
    <mergeCell ref="F1:J1"/>
    <mergeCell ref="F2:J2"/>
    <mergeCell ref="F3:L3"/>
    <mergeCell ref="M6:M27"/>
    <mergeCell ref="I16:I17"/>
    <mergeCell ref="J16:J17"/>
  </mergeCells>
  <conditionalFormatting sqref="E27 E6:E25">
    <cfRule type="duplicateValues" dxfId="15" priority="2"/>
  </conditionalFormatting>
  <conditionalFormatting sqref="E26">
    <cfRule type="duplicateValues" dxfId="14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P27"/>
  <sheetViews>
    <sheetView topLeftCell="A13" workbookViewId="0">
      <selection activeCell="L29" sqref="L29"/>
    </sheetView>
  </sheetViews>
  <sheetFormatPr defaultRowHeight="15" x14ac:dyDescent="0.25"/>
  <cols>
    <col min="11" max="11" width="9.5703125" bestFit="1" customWidth="1"/>
  </cols>
  <sheetData>
    <row r="1" spans="1:16" ht="15.75" x14ac:dyDescent="0.25">
      <c r="A1" s="32"/>
      <c r="B1" s="32"/>
      <c r="C1" s="32"/>
      <c r="D1" s="32"/>
      <c r="E1" s="32"/>
      <c r="F1" s="43" t="s">
        <v>0</v>
      </c>
      <c r="G1" s="43"/>
      <c r="H1" s="43"/>
      <c r="I1" s="43"/>
      <c r="J1" s="43"/>
      <c r="K1" s="32"/>
      <c r="L1" s="32"/>
      <c r="M1" s="32"/>
      <c r="N1" s="32"/>
      <c r="O1" s="32"/>
      <c r="P1" s="32"/>
    </row>
    <row r="2" spans="1:16" ht="15.75" x14ac:dyDescent="0.25">
      <c r="A2" s="32"/>
      <c r="B2" s="1"/>
      <c r="C2" s="2"/>
      <c r="D2" s="32"/>
      <c r="E2" s="32"/>
      <c r="F2" s="43" t="s">
        <v>1</v>
      </c>
      <c r="G2" s="43"/>
      <c r="H2" s="43"/>
      <c r="I2" s="43"/>
      <c r="J2" s="43"/>
      <c r="K2" s="32"/>
      <c r="L2" s="32"/>
      <c r="M2" s="32"/>
      <c r="N2" s="3"/>
      <c r="O2" s="32"/>
      <c r="P2" s="32"/>
    </row>
    <row r="3" spans="1:16" ht="15.75" x14ac:dyDescent="0.25">
      <c r="A3" s="32"/>
      <c r="B3" s="32"/>
      <c r="C3" s="32"/>
      <c r="D3" s="32"/>
      <c r="E3" s="32"/>
      <c r="F3" s="44" t="s">
        <v>2</v>
      </c>
      <c r="G3" s="44"/>
      <c r="H3" s="44"/>
      <c r="I3" s="44"/>
      <c r="J3" s="44"/>
      <c r="K3" s="44"/>
      <c r="L3" s="44"/>
      <c r="M3" s="32"/>
      <c r="N3" s="32"/>
      <c r="O3" s="32"/>
      <c r="P3" s="32"/>
    </row>
    <row r="4" spans="1:16" ht="15.75" x14ac:dyDescent="0.25">
      <c r="A4" s="32"/>
      <c r="B4" s="32"/>
      <c r="C4" s="32"/>
      <c r="D4" s="32"/>
      <c r="E4" s="4" t="s">
        <v>140</v>
      </c>
      <c r="F4" s="32"/>
      <c r="G4" s="32"/>
      <c r="H4" s="32"/>
      <c r="I4" s="32"/>
      <c r="J4" s="32"/>
      <c r="K4" s="32"/>
      <c r="L4" s="5"/>
      <c r="M4" s="32"/>
      <c r="N4" s="32"/>
      <c r="O4" s="32"/>
      <c r="P4" s="6"/>
    </row>
    <row r="5" spans="1:16" ht="78.75" x14ac:dyDescent="0.25">
      <c r="A5" s="7" t="s">
        <v>3</v>
      </c>
      <c r="B5" s="7" t="s">
        <v>4</v>
      </c>
      <c r="C5" s="7" t="s">
        <v>5</v>
      </c>
      <c r="D5" s="7" t="s">
        <v>6</v>
      </c>
      <c r="E5" s="7" t="s">
        <v>7</v>
      </c>
      <c r="F5" s="7" t="s">
        <v>8</v>
      </c>
      <c r="G5" s="7" t="s">
        <v>9</v>
      </c>
      <c r="H5" s="7" t="s">
        <v>10</v>
      </c>
      <c r="I5" s="7" t="s">
        <v>11</v>
      </c>
      <c r="J5" s="7" t="s">
        <v>12</v>
      </c>
      <c r="K5" s="7" t="s">
        <v>13</v>
      </c>
      <c r="L5" s="7" t="s">
        <v>14</v>
      </c>
      <c r="M5" s="7" t="s">
        <v>15</v>
      </c>
      <c r="N5" s="7" t="s">
        <v>16</v>
      </c>
      <c r="O5" s="7" t="s">
        <v>17</v>
      </c>
      <c r="P5" s="7" t="s">
        <v>18</v>
      </c>
    </row>
    <row r="6" spans="1:16" ht="31.5" x14ac:dyDescent="0.25">
      <c r="A6" s="8">
        <v>1</v>
      </c>
      <c r="B6" s="9" t="s">
        <v>19</v>
      </c>
      <c r="C6" s="9"/>
      <c r="D6" s="10">
        <v>11141</v>
      </c>
      <c r="E6" s="11" t="str">
        <f>VLOOKUP(D:D,'[1]Production Plan '!$B$7:$C$426,2,0)</f>
        <v>4 Inch Upvc Pipe Star (Gray 20 Ft )</v>
      </c>
      <c r="F6" s="12" t="str">
        <f>VLOOKUP(D6,'[2]Production Plan '!$B$7:$G$398,6,0)</f>
        <v>Grey</v>
      </c>
      <c r="G6" s="13">
        <v>0</v>
      </c>
      <c r="H6" s="14">
        <f>VLOOKUP(D:D,'[1]Production Plan '!$B:$F,5,0)</f>
        <v>12.5</v>
      </c>
      <c r="I6" s="13">
        <v>0</v>
      </c>
      <c r="J6" s="16" t="e">
        <f>I6/(K6)</f>
        <v>#DIV/0!</v>
      </c>
      <c r="K6" s="9">
        <f>G6*H6+I6</f>
        <v>0</v>
      </c>
      <c r="L6" s="15" t="str">
        <f>VLOOKUP(D:D,[3]Sheet1!$A:$G,7,0)</f>
        <v>SWR-Grey</v>
      </c>
      <c r="M6" s="45">
        <f>I27/K27</f>
        <v>6.3930139161296348E-2</v>
      </c>
      <c r="N6" s="17">
        <v>0</v>
      </c>
      <c r="O6" s="17">
        <f t="shared" ref="O6:O16" si="0">10-N6</f>
        <v>10</v>
      </c>
      <c r="P6" s="18" t="s">
        <v>52</v>
      </c>
    </row>
    <row r="7" spans="1:16" ht="47.25" x14ac:dyDescent="0.25">
      <c r="A7" s="8">
        <v>2</v>
      </c>
      <c r="B7" s="9" t="s">
        <v>22</v>
      </c>
      <c r="C7" s="9" t="s">
        <v>141</v>
      </c>
      <c r="D7" s="10">
        <v>12947</v>
      </c>
      <c r="E7" s="11" t="str">
        <f>VLOOKUP(D:D,'[1]Production Plan '!$B$7:$C$426,2,0)</f>
        <v>18 Inch Dia Upvc Pipe Class-D</v>
      </c>
      <c r="F7" s="12" t="str">
        <f>VLOOKUP(D7,'[2]Production Plan '!$B$7:$G$398,6,0)</f>
        <v>Grey</v>
      </c>
      <c r="G7" s="13">
        <v>0</v>
      </c>
      <c r="H7" s="14">
        <f>VLOOKUP(D:D,'[1]Production Plan '!$B:$F,5,0)</f>
        <v>302</v>
      </c>
      <c r="I7" s="19">
        <v>650</v>
      </c>
      <c r="J7" s="29">
        <f>I7/(K7)</f>
        <v>1</v>
      </c>
      <c r="K7" s="9">
        <f t="shared" ref="K7:K26" si="1">G7*H7+I7</f>
        <v>650</v>
      </c>
      <c r="L7" s="15" t="e">
        <f>VLOOKUP(D:D,[3]Sheet1!$A:$G,7,0)</f>
        <v>#N/A</v>
      </c>
      <c r="M7" s="45"/>
      <c r="N7" s="25">
        <v>5</v>
      </c>
      <c r="O7" s="17">
        <f t="shared" si="0"/>
        <v>5</v>
      </c>
      <c r="P7" s="30" t="s">
        <v>142</v>
      </c>
    </row>
    <row r="8" spans="1:16" ht="31.5" x14ac:dyDescent="0.25">
      <c r="A8" s="8">
        <v>3</v>
      </c>
      <c r="B8" s="9" t="s">
        <v>24</v>
      </c>
      <c r="C8" s="19"/>
      <c r="D8" s="10">
        <v>11105</v>
      </c>
      <c r="E8" s="11" t="str">
        <f>VLOOKUP(D:D,'[1]Production Plan '!$B$7:$C$426,2,0)</f>
        <v>1 Inch Dia Upvc Pipe Class-D</v>
      </c>
      <c r="F8" s="12" t="str">
        <f>VLOOKUP(D8,'[2]Production Plan '!$B$7:$G$398,6,0)</f>
        <v>Grey</v>
      </c>
      <c r="G8" s="13">
        <v>0</v>
      </c>
      <c r="H8" s="14">
        <f>VLOOKUP(D:D,'[1]Production Plan '!$B:$F,5,0)</f>
        <v>0.85</v>
      </c>
      <c r="I8" s="13">
        <v>0</v>
      </c>
      <c r="J8" s="16" t="e">
        <f t="shared" ref="J8:J15" si="2">I8/(K8)</f>
        <v>#DIV/0!</v>
      </c>
      <c r="K8" s="9">
        <f t="shared" si="1"/>
        <v>0</v>
      </c>
      <c r="L8" s="15" t="str">
        <f>VLOOKUP(D:D,[3]Sheet1!$A:$G,7,0)</f>
        <v>STD-Grey</v>
      </c>
      <c r="M8" s="45"/>
      <c r="N8" s="17">
        <v>0</v>
      </c>
      <c r="O8" s="17">
        <f t="shared" si="0"/>
        <v>10</v>
      </c>
      <c r="P8" s="18" t="s">
        <v>52</v>
      </c>
    </row>
    <row r="9" spans="1:16" ht="15.75" x14ac:dyDescent="0.25">
      <c r="A9" s="8">
        <v>4</v>
      </c>
      <c r="B9" s="9" t="s">
        <v>25</v>
      </c>
      <c r="C9" s="19" t="s">
        <v>74</v>
      </c>
      <c r="D9" s="10">
        <v>11506</v>
      </c>
      <c r="E9" s="11" t="str">
        <f>VLOOKUP(D:D,'[1]Production Plan '!$B$7:$C$426,2,0)</f>
        <v>2 Inch Dia UPVC Thread Pipe</v>
      </c>
      <c r="F9" s="12" t="str">
        <f>VLOOKUP(D9,'[2]Production Plan '!$B$7:$G$398,6,0)</f>
        <v>Green</v>
      </c>
      <c r="G9" s="13">
        <v>450</v>
      </c>
      <c r="H9" s="14">
        <f>VLOOKUP(D:D,'[1]Production Plan '!$B:$F,5,0)</f>
        <v>3.9</v>
      </c>
      <c r="I9" s="13">
        <v>0</v>
      </c>
      <c r="J9" s="16">
        <f t="shared" si="2"/>
        <v>0</v>
      </c>
      <c r="K9" s="9">
        <f t="shared" si="1"/>
        <v>1755</v>
      </c>
      <c r="L9" s="15" t="str">
        <f>VLOOKUP(D:D,[3]Sheet1!$A:$G,7,0)</f>
        <v>Thread-Green</v>
      </c>
      <c r="M9" s="45"/>
      <c r="N9" s="25">
        <v>10</v>
      </c>
      <c r="O9" s="17">
        <f t="shared" si="0"/>
        <v>0</v>
      </c>
      <c r="P9" s="30"/>
    </row>
    <row r="10" spans="1:16" ht="15.75" x14ac:dyDescent="0.25">
      <c r="A10" s="8">
        <v>5</v>
      </c>
      <c r="B10" s="22" t="s">
        <v>26</v>
      </c>
      <c r="C10" s="9" t="s">
        <v>143</v>
      </c>
      <c r="D10" s="10">
        <v>13359</v>
      </c>
      <c r="E10" s="11" t="str">
        <f>VLOOKUP(D:D,'[1]Production Plan '!$B$7:$C$426,2,0)</f>
        <v>uPVC Pipe 1.5 Inch x 15 Ft Class-Economy (S)</v>
      </c>
      <c r="F10" s="12" t="str">
        <f>VLOOKUP(D10,'[2]Production Plan '!$B$7:$G$398,6,0)</f>
        <v>White</v>
      </c>
      <c r="G10" s="13">
        <v>500</v>
      </c>
      <c r="H10" s="14">
        <f>VLOOKUP(D:D,'[1]Production Plan '!$B:$F,5,0)</f>
        <v>1.72</v>
      </c>
      <c r="I10" s="13">
        <v>75</v>
      </c>
      <c r="J10" s="29">
        <f t="shared" si="2"/>
        <v>8.0213903743315509E-2</v>
      </c>
      <c r="K10" s="9">
        <f t="shared" si="1"/>
        <v>935</v>
      </c>
      <c r="L10" s="15" t="str">
        <f>VLOOKUP(D:D,[3]Sheet1!$A:$G,7,0)</f>
        <v>Special-White</v>
      </c>
      <c r="M10" s="45"/>
      <c r="N10" s="25">
        <v>10</v>
      </c>
      <c r="O10" s="17">
        <f t="shared" si="0"/>
        <v>0</v>
      </c>
      <c r="P10" s="30"/>
    </row>
    <row r="11" spans="1:16" ht="15.75" x14ac:dyDescent="0.25">
      <c r="A11" s="8">
        <v>6</v>
      </c>
      <c r="B11" s="22" t="s">
        <v>28</v>
      </c>
      <c r="C11" s="20" t="s">
        <v>21</v>
      </c>
      <c r="D11" s="10">
        <v>11303</v>
      </c>
      <c r="E11" s="11" t="str">
        <f>VLOOKUP(D:D,'[1]Production Plan '!$B$7:$C$426,2,0)</f>
        <v>50mm Dia UPVC Pipe Class-ISO</v>
      </c>
      <c r="F11" s="12" t="str">
        <f>VLOOKUP(D11,'[2]Production Plan '!$B$7:$G$398,6,0)</f>
        <v>White</v>
      </c>
      <c r="G11" s="61">
        <v>430</v>
      </c>
      <c r="H11" s="14">
        <f>VLOOKUP(D:D,'[1]Production Plan '!$B:$F,5,0)</f>
        <v>2.2000000000000002</v>
      </c>
      <c r="I11" s="13">
        <v>55</v>
      </c>
      <c r="J11" s="29">
        <f t="shared" si="2"/>
        <v>5.4945054945054937E-2</v>
      </c>
      <c r="K11" s="9">
        <f t="shared" si="1"/>
        <v>1001.0000000000001</v>
      </c>
      <c r="L11" s="15" t="str">
        <f>VLOOKUP(D:D,[3]Sheet1!$A:$G,7,0)</f>
        <v>SWR-White</v>
      </c>
      <c r="M11" s="45"/>
      <c r="N11" s="25">
        <v>10</v>
      </c>
      <c r="O11" s="17">
        <f t="shared" si="0"/>
        <v>0</v>
      </c>
      <c r="P11" s="30"/>
    </row>
    <row r="12" spans="1:16" ht="15.75" x14ac:dyDescent="0.25">
      <c r="A12" s="8">
        <v>7</v>
      </c>
      <c r="B12" s="9" t="s">
        <v>30</v>
      </c>
      <c r="C12" s="9" t="s">
        <v>29</v>
      </c>
      <c r="D12" s="10">
        <v>11309</v>
      </c>
      <c r="E12" s="11" t="str">
        <f>VLOOKUP(D:D,'[1]Production Plan '!$B$7:$C$426,2,0)</f>
        <v>110mm Dia UPVC Pipe ISO-2</v>
      </c>
      <c r="F12" s="12" t="str">
        <f>VLOOKUP(D12,'[2]Production Plan '!$B$7:$G$398,6,0)</f>
        <v>White</v>
      </c>
      <c r="G12" s="13">
        <v>224</v>
      </c>
      <c r="H12" s="14">
        <f>VLOOKUP(D:D,'[1]Production Plan '!$B:$F,5,0)</f>
        <v>11</v>
      </c>
      <c r="I12" s="13">
        <v>44</v>
      </c>
      <c r="J12" s="16">
        <f t="shared" si="2"/>
        <v>1.7543859649122806E-2</v>
      </c>
      <c r="K12" s="9">
        <f t="shared" si="1"/>
        <v>2508</v>
      </c>
      <c r="L12" s="15" t="str">
        <f>VLOOKUP(D:D,[3]Sheet1!$A:$G,7,0)</f>
        <v>SWR-White</v>
      </c>
      <c r="M12" s="45"/>
      <c r="N12" s="25">
        <v>10</v>
      </c>
      <c r="O12" s="17">
        <f t="shared" si="0"/>
        <v>0</v>
      </c>
      <c r="P12" s="30"/>
    </row>
    <row r="13" spans="1:16" ht="31.5" x14ac:dyDescent="0.25">
      <c r="A13" s="8">
        <v>8</v>
      </c>
      <c r="B13" s="9" t="s">
        <v>32</v>
      </c>
      <c r="C13" s="9"/>
      <c r="D13" s="10">
        <v>11335</v>
      </c>
      <c r="E13" s="11" t="str">
        <f>VLOOKUP(D:D,'[1]Production Plan '!$B$7:$C$426,2,0)</f>
        <v>160mm Dia Upvc PN-8 Pipe</v>
      </c>
      <c r="F13" s="12" t="str">
        <f>VLOOKUP(D13,'[2]Production Plan '!$B$7:$G$398,6,0)</f>
        <v>White</v>
      </c>
      <c r="G13" s="13">
        <v>0</v>
      </c>
      <c r="H13" s="14">
        <f>VLOOKUP(D:D,'[1]Production Plan '!$B:$F,5,0)</f>
        <v>26.6</v>
      </c>
      <c r="I13" s="13">
        <v>0</v>
      </c>
      <c r="J13" s="16" t="e">
        <f t="shared" si="2"/>
        <v>#DIV/0!</v>
      </c>
      <c r="K13" s="9">
        <f t="shared" si="1"/>
        <v>0</v>
      </c>
      <c r="L13" s="15" t="str">
        <f>VLOOKUP(D:D,[3]Sheet1!$A:$G,7,0)</f>
        <v>STD-White</v>
      </c>
      <c r="M13" s="45"/>
      <c r="N13" s="17">
        <v>0</v>
      </c>
      <c r="O13" s="17">
        <f t="shared" si="0"/>
        <v>10</v>
      </c>
      <c r="P13" s="18" t="s">
        <v>52</v>
      </c>
    </row>
    <row r="14" spans="1:16" ht="31.5" x14ac:dyDescent="0.25">
      <c r="A14" s="8">
        <v>9</v>
      </c>
      <c r="B14" s="9" t="s">
        <v>33</v>
      </c>
      <c r="C14" s="20"/>
      <c r="D14" s="10">
        <v>11325</v>
      </c>
      <c r="E14" s="11" t="str">
        <f>VLOOKUP(D:D,'[1]Production Plan '!$B$7:$C$426,2,0)</f>
        <v>110 mm Dia UPVC Pipe SWR-3</v>
      </c>
      <c r="F14" s="12" t="str">
        <f>VLOOKUP(D14,'[2]Production Plan '!$B$7:$G$398,6,0)</f>
        <v>White</v>
      </c>
      <c r="G14" s="13">
        <v>0</v>
      </c>
      <c r="H14" s="14">
        <f>VLOOKUP(D:D,'[1]Production Plan '!$B:$F,5,0)</f>
        <v>12.9</v>
      </c>
      <c r="I14" s="13">
        <v>0</v>
      </c>
      <c r="J14" s="16" t="e">
        <f t="shared" si="2"/>
        <v>#DIV/0!</v>
      </c>
      <c r="K14" s="9">
        <f t="shared" si="1"/>
        <v>0</v>
      </c>
      <c r="L14" s="15" t="str">
        <f>VLOOKUP(D:D,[3]Sheet1!$A:$G,7,0)</f>
        <v>SWR-White</v>
      </c>
      <c r="M14" s="45"/>
      <c r="N14" s="17">
        <v>0</v>
      </c>
      <c r="O14" s="17">
        <f t="shared" si="0"/>
        <v>10</v>
      </c>
      <c r="P14" s="18" t="s">
        <v>52</v>
      </c>
    </row>
    <row r="15" spans="1:16" ht="15.75" x14ac:dyDescent="0.25">
      <c r="A15" s="8">
        <v>10</v>
      </c>
      <c r="B15" s="9" t="s">
        <v>34</v>
      </c>
      <c r="C15" s="20" t="s">
        <v>74</v>
      </c>
      <c r="D15" s="10">
        <v>11502</v>
      </c>
      <c r="E15" s="11" t="str">
        <f>VLOOKUP(D:D,'[1]Production Plan '!$B$7:$C$426,2,0)</f>
        <v>0.75 Inch Dia UPVC Thread Pipe</v>
      </c>
      <c r="F15" s="12" t="str">
        <f>VLOOKUP(D15,'[2]Production Plan '!$B$7:$G$398,6,0)</f>
        <v>Green</v>
      </c>
      <c r="G15" s="13">
        <v>1300</v>
      </c>
      <c r="H15" s="14">
        <f>VLOOKUP(D:D,'[1]Production Plan '!$B:$F,5,0)</f>
        <v>1.24</v>
      </c>
      <c r="I15" s="13">
        <v>55</v>
      </c>
      <c r="J15" s="16">
        <f t="shared" si="2"/>
        <v>3.2993401319736056E-2</v>
      </c>
      <c r="K15" s="9">
        <f t="shared" si="1"/>
        <v>1667</v>
      </c>
      <c r="L15" s="15" t="str">
        <f>VLOOKUP(D:D,[3]Sheet1!$A:$G,7,0)</f>
        <v>Thread-Green</v>
      </c>
      <c r="M15" s="45"/>
      <c r="N15" s="17">
        <v>10</v>
      </c>
      <c r="O15" s="17">
        <f t="shared" si="0"/>
        <v>0</v>
      </c>
      <c r="P15" s="18"/>
    </row>
    <row r="16" spans="1:16" ht="15.75" x14ac:dyDescent="0.25">
      <c r="A16" s="8">
        <v>11</v>
      </c>
      <c r="B16" s="9" t="s">
        <v>35</v>
      </c>
      <c r="C16" s="9" t="s">
        <v>62</v>
      </c>
      <c r="D16" s="10">
        <v>11391</v>
      </c>
      <c r="E16" s="11" t="str">
        <f>VLOOKUP(D:D,'[1]Production Plan '!$B$7:$C$426,2,0)</f>
        <v>4 Inch Dia UPVC Pipe Class-D SPL</v>
      </c>
      <c r="F16" s="12" t="str">
        <f>VLOOKUP(D16,'[2]Production Plan '!$B$7:$G$398,6,0)</f>
        <v>Grey</v>
      </c>
      <c r="G16" s="13">
        <v>5</v>
      </c>
      <c r="H16" s="14">
        <f>VLOOKUP(D:D,'[1]Production Plan '!$B:$F,5,0)</f>
        <v>20</v>
      </c>
      <c r="I16" s="39">
        <v>235</v>
      </c>
      <c r="J16" s="41">
        <f>I16/(K16+K17)</f>
        <v>0.13390313390313391</v>
      </c>
      <c r="K16" s="9">
        <f t="shared" si="1"/>
        <v>335</v>
      </c>
      <c r="L16" s="15" t="str">
        <f>VLOOKUP(D:D,[3]Sheet1!$A:$G,7,0)</f>
        <v>Three Layer</v>
      </c>
      <c r="M16" s="45"/>
      <c r="N16" s="88">
        <v>9</v>
      </c>
      <c r="O16" s="88">
        <f t="shared" si="0"/>
        <v>1</v>
      </c>
      <c r="P16" s="37" t="s">
        <v>144</v>
      </c>
    </row>
    <row r="17" spans="1:16" ht="15.75" x14ac:dyDescent="0.25">
      <c r="A17" s="8">
        <v>12</v>
      </c>
      <c r="B17" s="9" t="s">
        <v>35</v>
      </c>
      <c r="C17" s="9" t="s">
        <v>21</v>
      </c>
      <c r="D17" s="10">
        <v>11399</v>
      </c>
      <c r="E17" s="11" t="str">
        <f>VLOOKUP(D:D,'[1]Production Plan '!$B$7:$C$426,2,0)</f>
        <v>4 Inch Dia Upvc Pipe Class -D SPL Filter</v>
      </c>
      <c r="F17" s="12" t="str">
        <f>VLOOKUP(D17,'[2]Production Plan '!$B$7:$G$398,6,0)</f>
        <v>Grey</v>
      </c>
      <c r="G17" s="13">
        <v>142</v>
      </c>
      <c r="H17" s="14">
        <f>VLOOKUP(D:D,'[1]Production Plan '!$B:$F,5,0)</f>
        <v>10</v>
      </c>
      <c r="I17" s="40"/>
      <c r="J17" s="42"/>
      <c r="K17" s="9">
        <f t="shared" si="1"/>
        <v>1420</v>
      </c>
      <c r="L17" s="15" t="str">
        <f>VLOOKUP(D:D,[3]Sheet1!$A:$G,7,0)</f>
        <v xml:space="preserve">Three Layer </v>
      </c>
      <c r="M17" s="45"/>
      <c r="N17" s="89"/>
      <c r="O17" s="89"/>
      <c r="P17" s="38"/>
    </row>
    <row r="18" spans="1:16" ht="15.75" x14ac:dyDescent="0.25">
      <c r="A18" s="8">
        <v>13</v>
      </c>
      <c r="B18" s="9" t="s">
        <v>36</v>
      </c>
      <c r="C18" s="9" t="s">
        <v>145</v>
      </c>
      <c r="D18" s="10">
        <v>11346</v>
      </c>
      <c r="E18" s="11" t="str">
        <f>VLOOKUP(D:D,'[1]Production Plan '!$B$7:$C$426,2,0)</f>
        <v>200 MM Dia UPVC Pipe SWR-2</v>
      </c>
      <c r="F18" s="12" t="str">
        <f>VLOOKUP(D18,'[2]Production Plan '!$B$7:$G$398,6,0)</f>
        <v>White</v>
      </c>
      <c r="G18" s="13">
        <v>0</v>
      </c>
      <c r="H18" s="14">
        <f>VLOOKUP(D:D,'[1]Production Plan '!$B:$F,5,0)</f>
        <v>35.200000000000003</v>
      </c>
      <c r="I18" s="39">
        <v>0</v>
      </c>
      <c r="J18" s="41" t="e">
        <f t="shared" ref="J18:J26" si="3">I18/(K18)</f>
        <v>#DIV/0!</v>
      </c>
      <c r="K18" s="9">
        <f t="shared" si="1"/>
        <v>0</v>
      </c>
      <c r="L18" s="15" t="str">
        <f>VLOOKUP(D:D,[3]Sheet1!$A:$G,7,0)</f>
        <v>SWR-White</v>
      </c>
      <c r="M18" s="45"/>
      <c r="N18" s="88">
        <v>10</v>
      </c>
      <c r="O18" s="88">
        <f>10-N18</f>
        <v>0</v>
      </c>
      <c r="P18" s="37"/>
    </row>
    <row r="19" spans="1:16" ht="15.75" x14ac:dyDescent="0.25">
      <c r="A19" s="8">
        <v>14</v>
      </c>
      <c r="B19" s="9" t="s">
        <v>36</v>
      </c>
      <c r="C19" s="9" t="s">
        <v>21</v>
      </c>
      <c r="D19" s="10">
        <v>11347</v>
      </c>
      <c r="E19" s="11" t="str">
        <f>VLOOKUP(D:D,'[1]Production Plan '!$B$7:$C$426,2,0)</f>
        <v>200 mm Dia Upvc Pipe -Spl (2.7)</v>
      </c>
      <c r="F19" s="12" t="str">
        <f>VLOOKUP(D19,'[2]Production Plan '!$B$7:$G$398,6,0)</f>
        <v>Grey</v>
      </c>
      <c r="G19" s="13">
        <v>95</v>
      </c>
      <c r="H19" s="14">
        <f>VLOOKUP(D:D,'[1]Production Plan '!$B:$F,5,0)</f>
        <v>19.2</v>
      </c>
      <c r="I19" s="40"/>
      <c r="J19" s="42"/>
      <c r="K19" s="9">
        <f t="shared" si="1"/>
        <v>1824</v>
      </c>
      <c r="L19" s="15" t="str">
        <f>VLOOKUP(D:D,[3]Sheet1!$A:$G,7,0)</f>
        <v>SWR-Grey</v>
      </c>
      <c r="M19" s="45"/>
      <c r="N19" s="89"/>
      <c r="O19" s="89"/>
      <c r="P19" s="38"/>
    </row>
    <row r="20" spans="1:16" ht="15.75" x14ac:dyDescent="0.25">
      <c r="A20" s="8">
        <v>15</v>
      </c>
      <c r="B20" s="9" t="s">
        <v>38</v>
      </c>
      <c r="C20" s="9" t="s">
        <v>79</v>
      </c>
      <c r="D20" s="10">
        <v>12934</v>
      </c>
      <c r="E20" s="11" t="str">
        <f>VLOOKUP(D:D,'[1]Production Plan '!$B$7:$C$426,2,0)</f>
        <v>110 mm Dia Upvc Pipe SWR-3 SPL</v>
      </c>
      <c r="F20" s="12" t="str">
        <f>VLOOKUP(D20,'[2]Production Plan '!$B$7:$G$398,6,0)</f>
        <v>White</v>
      </c>
      <c r="G20" s="13">
        <v>155</v>
      </c>
      <c r="H20" s="14">
        <f>VLOOKUP(D:D,'[1]Production Plan '!$B:$F,5,0)</f>
        <v>12.7</v>
      </c>
      <c r="I20" s="13">
        <v>0</v>
      </c>
      <c r="J20" s="29">
        <f t="shared" si="3"/>
        <v>0</v>
      </c>
      <c r="K20" s="9">
        <f t="shared" si="1"/>
        <v>1968.5</v>
      </c>
      <c r="L20" s="15" t="str">
        <f>VLOOKUP(D:D,[3]Sheet1!$A:$G,7,0)</f>
        <v>SWR-White</v>
      </c>
      <c r="M20" s="45"/>
      <c r="N20" s="25">
        <v>10</v>
      </c>
      <c r="O20" s="25">
        <f t="shared" ref="O20:O26" si="4">10-N20</f>
        <v>0</v>
      </c>
      <c r="P20" s="30"/>
    </row>
    <row r="21" spans="1:16" ht="15.75" x14ac:dyDescent="0.25">
      <c r="A21" s="8">
        <v>16</v>
      </c>
      <c r="B21" s="9" t="s">
        <v>39</v>
      </c>
      <c r="C21" s="9"/>
      <c r="D21" s="10">
        <v>11304</v>
      </c>
      <c r="E21" s="11" t="str">
        <f>VLOOKUP(D:D,'[1]Production Plan '!$B$7:$C$426,2,0)</f>
        <v>80mm Dia Upvc Pipe SWR-0</v>
      </c>
      <c r="F21" s="12" t="str">
        <f>VLOOKUP(D21,'[2]Production Plan '!$B$7:$G$398,6,0)</f>
        <v>White</v>
      </c>
      <c r="G21" s="13">
        <v>0</v>
      </c>
      <c r="H21" s="14">
        <f>VLOOKUP(D:D,'[1]Production Plan '!$B:$F,5,0)</f>
        <v>5.8</v>
      </c>
      <c r="I21" s="13">
        <v>0</v>
      </c>
      <c r="J21" s="29" t="e">
        <f t="shared" si="3"/>
        <v>#DIV/0!</v>
      </c>
      <c r="K21" s="9">
        <f t="shared" si="1"/>
        <v>0</v>
      </c>
      <c r="L21" s="15" t="str">
        <f>VLOOKUP(D:D,[3]Sheet1!$A:$G,7,0)</f>
        <v>SWR-White</v>
      </c>
      <c r="M21" s="45"/>
      <c r="N21" s="25">
        <v>0</v>
      </c>
      <c r="O21" s="25">
        <f t="shared" si="4"/>
        <v>10</v>
      </c>
      <c r="P21" s="30"/>
    </row>
    <row r="22" spans="1:16" ht="31.5" x14ac:dyDescent="0.25">
      <c r="A22" s="8">
        <v>17</v>
      </c>
      <c r="B22" s="9" t="s">
        <v>40</v>
      </c>
      <c r="C22" s="9"/>
      <c r="D22" s="10">
        <v>13397</v>
      </c>
      <c r="E22" s="11" t="str">
        <f>VLOOKUP(D:D,'[1]Production Plan '!$B$7:$C$426,2,0)</f>
        <v>1.5 Inch Dia Upvc Pipe Class D-SP (Br)</v>
      </c>
      <c r="F22" s="12" t="str">
        <f>VLOOKUP(D22,'[2]Production Plan '!$B$7:$G$398,6,0)</f>
        <v>Grey</v>
      </c>
      <c r="G22" s="13"/>
      <c r="H22" s="14">
        <f>VLOOKUP(D:D,'[1]Production Plan '!$B:$F,5,0)</f>
        <v>2.85</v>
      </c>
      <c r="I22" s="13">
        <v>0</v>
      </c>
      <c r="J22" s="29" t="e">
        <f t="shared" si="3"/>
        <v>#DIV/0!</v>
      </c>
      <c r="K22" s="9">
        <f t="shared" si="1"/>
        <v>0</v>
      </c>
      <c r="L22" s="15" t="str">
        <f>VLOOKUP(D:D,[3]Sheet1!$A:$G,7,0)</f>
        <v>STD-Grey</v>
      </c>
      <c r="M22" s="45"/>
      <c r="N22" s="17">
        <v>0</v>
      </c>
      <c r="O22" s="25">
        <f t="shared" si="4"/>
        <v>10</v>
      </c>
      <c r="P22" s="18" t="s">
        <v>52</v>
      </c>
    </row>
    <row r="23" spans="1:16" ht="15.75" x14ac:dyDescent="0.25">
      <c r="A23" s="8">
        <v>18</v>
      </c>
      <c r="B23" s="9" t="s">
        <v>41</v>
      </c>
      <c r="C23" s="9" t="s">
        <v>110</v>
      </c>
      <c r="D23" s="10">
        <v>11503</v>
      </c>
      <c r="E23" s="11" t="str">
        <f>VLOOKUP(D:D,'[1]Production Plan '!$B$7:$C$426,2,0)</f>
        <v>1 Inch Dia UPVC Thread Pipe</v>
      </c>
      <c r="F23" s="12" t="str">
        <f>VLOOKUP(D23,'[2]Production Plan '!$B$7:$G$398,6,0)</f>
        <v>Green</v>
      </c>
      <c r="G23" s="13">
        <v>990</v>
      </c>
      <c r="H23" s="14">
        <f>VLOOKUP(D:D,'[1]Production Plan '!$B:$F,5,0)</f>
        <v>1.65</v>
      </c>
      <c r="I23" s="13">
        <v>70</v>
      </c>
      <c r="J23" s="16">
        <f t="shared" si="3"/>
        <v>4.1091869680070441E-2</v>
      </c>
      <c r="K23" s="9">
        <f t="shared" si="1"/>
        <v>1703.5</v>
      </c>
      <c r="L23" s="15" t="str">
        <f>VLOOKUP(D:D,[3]Sheet1!$A:$G,7,0)</f>
        <v>Thread-Green</v>
      </c>
      <c r="M23" s="45"/>
      <c r="N23" s="17">
        <v>10</v>
      </c>
      <c r="O23" s="25">
        <f t="shared" si="4"/>
        <v>0</v>
      </c>
      <c r="P23" s="18"/>
    </row>
    <row r="24" spans="1:16" ht="31.5" x14ac:dyDescent="0.25">
      <c r="A24" s="8">
        <v>19</v>
      </c>
      <c r="B24" s="9" t="s">
        <v>42</v>
      </c>
      <c r="C24" s="9" t="s">
        <v>46</v>
      </c>
      <c r="D24" s="10">
        <v>12571</v>
      </c>
      <c r="E24" s="11" t="str">
        <f>VLOOKUP(D:D,'[1]Production Plan '!$B$7:$C$426,2,0)</f>
        <v>1.25 Inc HDPE Coil Pipe-Green</v>
      </c>
      <c r="F24" s="12" t="str">
        <f>VLOOKUP(D24,'[2]Production Plan '!$B$7:$G$398,6,0)</f>
        <v>Green</v>
      </c>
      <c r="G24" s="13">
        <v>7</v>
      </c>
      <c r="H24" s="14">
        <f>VLOOKUP(D:D,'[1]Production Plan '!$B:$F,5,0)</f>
        <v>46</v>
      </c>
      <c r="I24" s="13">
        <v>30</v>
      </c>
      <c r="J24" s="16">
        <f t="shared" si="3"/>
        <v>8.5227272727272721E-2</v>
      </c>
      <c r="K24" s="9">
        <f t="shared" si="1"/>
        <v>352</v>
      </c>
      <c r="L24" s="15" t="str">
        <f>VLOOKUP(D:D,[3]Sheet1!$A:$G,7,0)</f>
        <v>HDPE D/L Green</v>
      </c>
      <c r="M24" s="45"/>
      <c r="N24" s="26">
        <v>0</v>
      </c>
      <c r="O24" s="25">
        <f t="shared" si="4"/>
        <v>10</v>
      </c>
      <c r="P24" s="31" t="s">
        <v>68</v>
      </c>
    </row>
    <row r="25" spans="1:16" ht="15.75" x14ac:dyDescent="0.25">
      <c r="A25" s="8">
        <v>20</v>
      </c>
      <c r="B25" s="9" t="s">
        <v>43</v>
      </c>
      <c r="C25" s="9" t="s">
        <v>77</v>
      </c>
      <c r="D25" s="10">
        <v>11317</v>
      </c>
      <c r="E25" s="11" t="str">
        <f>VLOOKUP(D:D,'[1]Production Plan '!$B$7:$C$426,2,0)</f>
        <v>110mm Dia Upvc Pipe SWR-1 Special (White)</v>
      </c>
      <c r="F25" s="12" t="str">
        <f>VLOOKUP(D25,'[2]Production Plan '!$B$7:$G$398,6,0)</f>
        <v>White</v>
      </c>
      <c r="G25" s="13">
        <v>442</v>
      </c>
      <c r="H25" s="14">
        <f>VLOOKUP(D:D,'[1]Production Plan '!$B:$F,5,0)</f>
        <v>10</v>
      </c>
      <c r="I25" s="13">
        <v>140</v>
      </c>
      <c r="J25" s="16">
        <f t="shared" si="3"/>
        <v>3.0701754385964911E-2</v>
      </c>
      <c r="K25" s="9">
        <f t="shared" si="1"/>
        <v>4560</v>
      </c>
      <c r="L25" s="15" t="str">
        <f>VLOOKUP(D:D,[3]Sheet1!$A:$G,7,0)</f>
        <v>SWR-White</v>
      </c>
      <c r="M25" s="45"/>
      <c r="N25" s="17">
        <v>10</v>
      </c>
      <c r="O25" s="25">
        <f t="shared" si="4"/>
        <v>0</v>
      </c>
      <c r="P25" s="18"/>
    </row>
    <row r="26" spans="1:16" ht="15.75" x14ac:dyDescent="0.25">
      <c r="A26" s="8">
        <v>21</v>
      </c>
      <c r="B26" s="9" t="s">
        <v>44</v>
      </c>
      <c r="C26" s="9" t="s">
        <v>46</v>
      </c>
      <c r="D26" s="10">
        <v>13390</v>
      </c>
      <c r="E26" s="11" t="str">
        <f>VLOOKUP(D:D,'[1]Production Plan '!$B$7:$C$426,2,0)</f>
        <v>CPVC Pipe 1.5''(40mm)X3M-SDR-13.5</v>
      </c>
      <c r="F26" s="12" t="str">
        <f>VLOOKUP(D26,'[2]Production Plan '!$B$7:$G$398,6,0)</f>
        <v>Off White</v>
      </c>
      <c r="G26" s="13">
        <v>400</v>
      </c>
      <c r="H26" s="14">
        <f>VLOOKUP(D:D,'[1]Production Plan '!$B:$F,5,0)</f>
        <v>1.8</v>
      </c>
      <c r="I26" s="13">
        <v>15</v>
      </c>
      <c r="J26" s="16">
        <f t="shared" si="3"/>
        <v>2.0408163265306121E-2</v>
      </c>
      <c r="K26" s="9">
        <f t="shared" si="1"/>
        <v>735</v>
      </c>
      <c r="L26" s="15" t="str">
        <f>VLOOKUP(D:D,[3]Sheet1!$A:$G,7,0)</f>
        <v>Com..</v>
      </c>
      <c r="M26" s="45"/>
      <c r="N26" s="25">
        <v>10</v>
      </c>
      <c r="O26" s="25">
        <f t="shared" si="4"/>
        <v>0</v>
      </c>
      <c r="P26" s="30"/>
    </row>
    <row r="27" spans="1:16" ht="15.75" x14ac:dyDescent="0.25">
      <c r="A27" s="8"/>
      <c r="B27" s="9"/>
      <c r="C27" s="9"/>
      <c r="D27" s="9"/>
      <c r="E27" s="11"/>
      <c r="F27" s="12"/>
      <c r="G27" s="7"/>
      <c r="H27" s="14"/>
      <c r="I27" s="21">
        <f>SUM(I6:I26)</f>
        <v>1369</v>
      </c>
      <c r="J27" s="21"/>
      <c r="K27" s="21">
        <f>SUM(K6:K26)</f>
        <v>21414</v>
      </c>
      <c r="L27" s="15"/>
      <c r="M27" s="45"/>
      <c r="N27" s="17"/>
      <c r="O27" s="17"/>
      <c r="P27" s="9"/>
    </row>
  </sheetData>
  <mergeCells count="10">
    <mergeCell ref="P16:P17"/>
    <mergeCell ref="I18:I19"/>
    <mergeCell ref="J18:J19"/>
    <mergeCell ref="P18:P19"/>
    <mergeCell ref="F1:J1"/>
    <mergeCell ref="F2:J2"/>
    <mergeCell ref="F3:L3"/>
    <mergeCell ref="M6:M27"/>
    <mergeCell ref="I16:I17"/>
    <mergeCell ref="J16:J17"/>
  </mergeCells>
  <conditionalFormatting sqref="E27 E6:E25">
    <cfRule type="duplicateValues" dxfId="13" priority="2"/>
  </conditionalFormatting>
  <conditionalFormatting sqref="E26">
    <cfRule type="duplicateValues" dxfId="12" priority="1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P27"/>
  <sheetViews>
    <sheetView topLeftCell="A16" workbookViewId="0">
      <selection activeCell="K28" sqref="K28"/>
    </sheetView>
  </sheetViews>
  <sheetFormatPr defaultRowHeight="15" x14ac:dyDescent="0.25"/>
  <cols>
    <col min="11" max="11" width="9.5703125" bestFit="1" customWidth="1"/>
  </cols>
  <sheetData>
    <row r="1" spans="1:16" ht="15.75" x14ac:dyDescent="0.25">
      <c r="A1" s="32"/>
      <c r="B1" s="32"/>
      <c r="C1" s="32"/>
      <c r="D1" s="32"/>
      <c r="E1" s="32"/>
      <c r="F1" s="43" t="s">
        <v>0</v>
      </c>
      <c r="G1" s="43"/>
      <c r="H1" s="43"/>
      <c r="I1" s="43"/>
      <c r="J1" s="43"/>
      <c r="K1" s="32"/>
      <c r="L1" s="32"/>
      <c r="M1" s="32"/>
      <c r="N1" s="32"/>
      <c r="O1" s="32"/>
      <c r="P1" s="32"/>
    </row>
    <row r="2" spans="1:16" ht="15.75" x14ac:dyDescent="0.25">
      <c r="A2" s="32"/>
      <c r="B2" s="1"/>
      <c r="C2" s="2"/>
      <c r="D2" s="32"/>
      <c r="E2" s="32"/>
      <c r="F2" s="43" t="s">
        <v>1</v>
      </c>
      <c r="G2" s="43"/>
      <c r="H2" s="43"/>
      <c r="I2" s="43"/>
      <c r="J2" s="43"/>
      <c r="K2" s="32"/>
      <c r="L2" s="32"/>
      <c r="M2" s="32"/>
      <c r="N2" s="3"/>
      <c r="O2" s="32"/>
      <c r="P2" s="32"/>
    </row>
    <row r="3" spans="1:16" ht="15.75" x14ac:dyDescent="0.25">
      <c r="A3" s="32"/>
      <c r="B3" s="32"/>
      <c r="C3" s="32"/>
      <c r="D3" s="32"/>
      <c r="E3" s="32"/>
      <c r="F3" s="44" t="s">
        <v>2</v>
      </c>
      <c r="G3" s="44"/>
      <c r="H3" s="44"/>
      <c r="I3" s="44"/>
      <c r="J3" s="44"/>
      <c r="K3" s="44"/>
      <c r="L3" s="44"/>
      <c r="M3" s="32"/>
      <c r="N3" s="32"/>
      <c r="O3" s="32"/>
      <c r="P3" s="32"/>
    </row>
    <row r="4" spans="1:16" ht="15.75" x14ac:dyDescent="0.25">
      <c r="A4" s="32"/>
      <c r="B4" s="32"/>
      <c r="C4" s="32"/>
      <c r="D4" s="32"/>
      <c r="E4" s="4" t="s">
        <v>146</v>
      </c>
      <c r="F4" s="32"/>
      <c r="G4" s="32"/>
      <c r="H4" s="32"/>
      <c r="I4" s="32"/>
      <c r="J4" s="32"/>
      <c r="K4" s="32"/>
      <c r="L4" s="5"/>
      <c r="M4" s="32"/>
      <c r="N4" s="32"/>
      <c r="O4" s="32"/>
      <c r="P4" s="6"/>
    </row>
    <row r="5" spans="1:16" ht="78.75" x14ac:dyDescent="0.25">
      <c r="A5" s="7" t="s">
        <v>3</v>
      </c>
      <c r="B5" s="7" t="s">
        <v>4</v>
      </c>
      <c r="C5" s="7" t="s">
        <v>5</v>
      </c>
      <c r="D5" s="7" t="s">
        <v>6</v>
      </c>
      <c r="E5" s="7" t="s">
        <v>7</v>
      </c>
      <c r="F5" s="7" t="s">
        <v>8</v>
      </c>
      <c r="G5" s="7" t="s">
        <v>9</v>
      </c>
      <c r="H5" s="7" t="s">
        <v>10</v>
      </c>
      <c r="I5" s="7" t="s">
        <v>11</v>
      </c>
      <c r="J5" s="7" t="s">
        <v>12</v>
      </c>
      <c r="K5" s="7" t="s">
        <v>13</v>
      </c>
      <c r="L5" s="7" t="s">
        <v>14</v>
      </c>
      <c r="M5" s="7" t="s">
        <v>15</v>
      </c>
      <c r="N5" s="7" t="s">
        <v>16</v>
      </c>
      <c r="O5" s="7" t="s">
        <v>17</v>
      </c>
      <c r="P5" s="7" t="s">
        <v>18</v>
      </c>
    </row>
    <row r="6" spans="1:16" ht="31.5" x14ac:dyDescent="0.25">
      <c r="A6" s="8">
        <v>1</v>
      </c>
      <c r="B6" s="9" t="s">
        <v>19</v>
      </c>
      <c r="C6" s="9"/>
      <c r="D6" s="10">
        <v>11141</v>
      </c>
      <c r="E6" s="11" t="str">
        <f>VLOOKUP(D:D,'[1]Production Plan '!$B$7:$C$426,2,0)</f>
        <v>4 Inch Upvc Pipe Star (Gray 20 Ft )</v>
      </c>
      <c r="F6" s="12" t="str">
        <f>VLOOKUP(D6,'[2]Production Plan '!$B$7:$G$398,6,0)</f>
        <v>Grey</v>
      </c>
      <c r="G6" s="13">
        <v>0</v>
      </c>
      <c r="H6" s="14">
        <f>VLOOKUP(D:D,'[1]Production Plan '!$B:$F,5,0)</f>
        <v>12.5</v>
      </c>
      <c r="I6" s="13">
        <v>0</v>
      </c>
      <c r="J6" s="16" t="e">
        <f>I6/(K6)</f>
        <v>#DIV/0!</v>
      </c>
      <c r="K6" s="9">
        <f>G6*H6+I6</f>
        <v>0</v>
      </c>
      <c r="L6" s="15" t="str">
        <f>VLOOKUP(D:D,[3]Sheet1!$A:$G,7,0)</f>
        <v>SWR-Grey</v>
      </c>
      <c r="M6" s="45">
        <f>I27/K27</f>
        <v>5.3708666048972155E-2</v>
      </c>
      <c r="N6" s="17">
        <v>0</v>
      </c>
      <c r="O6" s="17">
        <f>12-N6</f>
        <v>12</v>
      </c>
      <c r="P6" s="18" t="s">
        <v>52</v>
      </c>
    </row>
    <row r="7" spans="1:16" ht="63" x14ac:dyDescent="0.25">
      <c r="A7" s="8">
        <v>2</v>
      </c>
      <c r="B7" s="9" t="s">
        <v>22</v>
      </c>
      <c r="C7" s="9" t="s">
        <v>23</v>
      </c>
      <c r="D7" s="10">
        <v>12947</v>
      </c>
      <c r="E7" s="11" t="str">
        <f>VLOOKUP(D:D,'[1]Production Plan '!$B$7:$C$426,2,0)</f>
        <v>18 Inch Dia Upvc Pipe Class-D</v>
      </c>
      <c r="F7" s="12" t="str">
        <f>VLOOKUP(D7,'[2]Production Plan '!$B$7:$G$398,6,0)</f>
        <v>Grey</v>
      </c>
      <c r="G7" s="13">
        <v>18</v>
      </c>
      <c r="H7" s="14">
        <f>VLOOKUP(D:D,'[1]Production Plan '!$B:$F,5,0)</f>
        <v>302</v>
      </c>
      <c r="I7" s="33">
        <v>400</v>
      </c>
      <c r="J7" s="29">
        <f>I7/(K7)</f>
        <v>6.8540095956134334E-2</v>
      </c>
      <c r="K7" s="9">
        <f t="shared" ref="K7:K26" si="0">G7*H7+I7</f>
        <v>5836</v>
      </c>
      <c r="L7" s="15" t="e">
        <f>VLOOKUP(D:D,[3]Sheet1!$A:$G,7,0)</f>
        <v>#N/A</v>
      </c>
      <c r="M7" s="45"/>
      <c r="N7" s="25">
        <v>0</v>
      </c>
      <c r="O7" s="17">
        <f t="shared" ref="O7:O15" si="1">12-N7</f>
        <v>12</v>
      </c>
      <c r="P7" s="30" t="s">
        <v>147</v>
      </c>
    </row>
    <row r="8" spans="1:16" ht="31.5" x14ac:dyDescent="0.25">
      <c r="A8" s="8">
        <v>3</v>
      </c>
      <c r="B8" s="9" t="s">
        <v>24</v>
      </c>
      <c r="C8" s="19"/>
      <c r="D8" s="10">
        <v>11105</v>
      </c>
      <c r="E8" s="11" t="str">
        <f>VLOOKUP(D:D,'[1]Production Plan '!$B$7:$C$426,2,0)</f>
        <v>1 Inch Dia Upvc Pipe Class-D</v>
      </c>
      <c r="F8" s="12" t="str">
        <f>VLOOKUP(D8,'[2]Production Plan '!$B$7:$G$398,6,0)</f>
        <v>Grey</v>
      </c>
      <c r="G8" s="13">
        <v>0</v>
      </c>
      <c r="H8" s="14">
        <f>VLOOKUP(D:D,'[1]Production Plan '!$B:$F,5,0)</f>
        <v>0.85</v>
      </c>
      <c r="I8" s="13">
        <v>0</v>
      </c>
      <c r="J8" s="16" t="e">
        <f t="shared" ref="J8:J15" si="2">I8/(K8)</f>
        <v>#DIV/0!</v>
      </c>
      <c r="K8" s="9">
        <f t="shared" si="0"/>
        <v>0</v>
      </c>
      <c r="L8" s="15" t="str">
        <f>VLOOKUP(D:D,[3]Sheet1!$A:$G,7,0)</f>
        <v>STD-Grey</v>
      </c>
      <c r="M8" s="45"/>
      <c r="N8" s="17">
        <v>0</v>
      </c>
      <c r="O8" s="17">
        <f t="shared" si="1"/>
        <v>12</v>
      </c>
      <c r="P8" s="18" t="s">
        <v>52</v>
      </c>
    </row>
    <row r="9" spans="1:16" ht="15.75" x14ac:dyDescent="0.25">
      <c r="A9" s="8">
        <v>4</v>
      </c>
      <c r="B9" s="9" t="s">
        <v>25</v>
      </c>
      <c r="C9" s="19" t="s">
        <v>130</v>
      </c>
      <c r="D9" s="10">
        <v>11506</v>
      </c>
      <c r="E9" s="11" t="str">
        <f>VLOOKUP(D:D,'[1]Production Plan '!$B$7:$C$426,2,0)</f>
        <v>2 Inch Dia UPVC Thread Pipe</v>
      </c>
      <c r="F9" s="12" t="str">
        <f>VLOOKUP(D9,'[2]Production Plan '!$B$7:$G$398,6,0)</f>
        <v>Green</v>
      </c>
      <c r="G9" s="13">
        <v>230</v>
      </c>
      <c r="H9" s="14">
        <f>VLOOKUP(D:D,'[1]Production Plan '!$B:$F,5,0)</f>
        <v>3.9</v>
      </c>
      <c r="I9" s="27">
        <v>0</v>
      </c>
      <c r="J9" s="16">
        <f t="shared" si="2"/>
        <v>0</v>
      </c>
      <c r="K9" s="9">
        <f t="shared" si="0"/>
        <v>897</v>
      </c>
      <c r="L9" s="15" t="str">
        <f>VLOOKUP(D:D,[3]Sheet1!$A:$G,7,0)</f>
        <v>Thread-Green</v>
      </c>
      <c r="M9" s="45"/>
      <c r="N9" s="25">
        <v>12</v>
      </c>
      <c r="O9" s="17">
        <f t="shared" si="1"/>
        <v>0</v>
      </c>
      <c r="P9" s="30"/>
    </row>
    <row r="10" spans="1:16" ht="15.75" x14ac:dyDescent="0.25">
      <c r="A10" s="8">
        <v>5</v>
      </c>
      <c r="B10" s="22" t="s">
        <v>26</v>
      </c>
      <c r="C10" s="9" t="s">
        <v>27</v>
      </c>
      <c r="D10" s="10">
        <v>13359</v>
      </c>
      <c r="E10" s="11" t="str">
        <f>VLOOKUP(D:D,'[1]Production Plan '!$B$7:$C$426,2,0)</f>
        <v>uPVC Pipe 1.5 Inch x 15 Ft Class-Economy (S)</v>
      </c>
      <c r="F10" s="12" t="str">
        <f>VLOOKUP(D10,'[2]Production Plan '!$B$7:$G$398,6,0)</f>
        <v>White</v>
      </c>
      <c r="G10" s="13">
        <v>280</v>
      </c>
      <c r="H10" s="14">
        <f>VLOOKUP(D:D,'[1]Production Plan '!$B:$F,5,0)</f>
        <v>1.72</v>
      </c>
      <c r="I10" s="27">
        <v>99</v>
      </c>
      <c r="J10" s="29">
        <f t="shared" si="2"/>
        <v>0.17051326214261112</v>
      </c>
      <c r="K10" s="9">
        <f t="shared" si="0"/>
        <v>580.59999999999991</v>
      </c>
      <c r="L10" s="15" t="str">
        <f>VLOOKUP(D:D,[3]Sheet1!$A:$G,7,0)</f>
        <v>Special-White</v>
      </c>
      <c r="M10" s="45"/>
      <c r="N10" s="25">
        <v>12</v>
      </c>
      <c r="O10" s="17">
        <f t="shared" si="1"/>
        <v>0</v>
      </c>
      <c r="P10" s="30"/>
    </row>
    <row r="11" spans="1:16" ht="15.75" x14ac:dyDescent="0.25">
      <c r="A11" s="8">
        <v>6</v>
      </c>
      <c r="B11" s="22" t="s">
        <v>28</v>
      </c>
      <c r="C11" s="20" t="s">
        <v>132</v>
      </c>
      <c r="D11" s="10">
        <v>11303</v>
      </c>
      <c r="E11" s="11" t="str">
        <f>VLOOKUP(D:D,'[1]Production Plan '!$B$7:$C$426,2,0)</f>
        <v>50mm Dia UPVC Pipe Class-ISO</v>
      </c>
      <c r="F11" s="12" t="str">
        <f>VLOOKUP(D11,'[2]Production Plan '!$B$7:$G$398,6,0)</f>
        <v>White</v>
      </c>
      <c r="G11" s="61">
        <v>410</v>
      </c>
      <c r="H11" s="14">
        <f>VLOOKUP(D:D,'[1]Production Plan '!$B:$F,5,0)</f>
        <v>2.2000000000000002</v>
      </c>
      <c r="I11" s="27">
        <v>0</v>
      </c>
      <c r="J11" s="29">
        <f t="shared" si="2"/>
        <v>0</v>
      </c>
      <c r="K11" s="9">
        <f t="shared" si="0"/>
        <v>902.00000000000011</v>
      </c>
      <c r="L11" s="15" t="str">
        <f>VLOOKUP(D:D,[3]Sheet1!$A:$G,7,0)</f>
        <v>SWR-White</v>
      </c>
      <c r="M11" s="45"/>
      <c r="N11" s="25">
        <v>12</v>
      </c>
      <c r="O11" s="17">
        <f t="shared" si="1"/>
        <v>0</v>
      </c>
      <c r="P11" s="30"/>
    </row>
    <row r="12" spans="1:16" ht="15.75" x14ac:dyDescent="0.25">
      <c r="A12" s="8">
        <v>7</v>
      </c>
      <c r="B12" s="9" t="s">
        <v>30</v>
      </c>
      <c r="C12" s="9" t="s">
        <v>50</v>
      </c>
      <c r="D12" s="10">
        <v>11309</v>
      </c>
      <c r="E12" s="11" t="str">
        <f>VLOOKUP(D:D,'[1]Production Plan '!$B$7:$C$426,2,0)</f>
        <v>110mm Dia UPVC Pipe ISO-2</v>
      </c>
      <c r="F12" s="12" t="str">
        <f>VLOOKUP(D12,'[2]Production Plan '!$B$7:$G$398,6,0)</f>
        <v>White</v>
      </c>
      <c r="G12" s="13">
        <v>151</v>
      </c>
      <c r="H12" s="14">
        <f>VLOOKUP(D:D,'[1]Production Plan '!$B:$F,5,0)</f>
        <v>11</v>
      </c>
      <c r="I12" s="27">
        <v>42</v>
      </c>
      <c r="J12" s="16">
        <f t="shared" si="2"/>
        <v>2.4662360540223135E-2</v>
      </c>
      <c r="K12" s="9">
        <f t="shared" si="0"/>
        <v>1703</v>
      </c>
      <c r="L12" s="15" t="str">
        <f>VLOOKUP(D:D,[3]Sheet1!$A:$G,7,0)</f>
        <v>SWR-White</v>
      </c>
      <c r="M12" s="45"/>
      <c r="N12" s="25">
        <v>12</v>
      </c>
      <c r="O12" s="17">
        <f t="shared" si="1"/>
        <v>0</v>
      </c>
      <c r="P12" s="30"/>
    </row>
    <row r="13" spans="1:16" ht="31.5" x14ac:dyDescent="0.25">
      <c r="A13" s="8">
        <v>8</v>
      </c>
      <c r="B13" s="9" t="s">
        <v>32</v>
      </c>
      <c r="C13" s="9"/>
      <c r="D13" s="10">
        <v>11335</v>
      </c>
      <c r="E13" s="11" t="str">
        <f>VLOOKUP(D:D,'[1]Production Plan '!$B$7:$C$426,2,0)</f>
        <v>160mm Dia Upvc PN-8 Pipe</v>
      </c>
      <c r="F13" s="12" t="str">
        <f>VLOOKUP(D13,'[2]Production Plan '!$B$7:$G$398,6,0)</f>
        <v>White</v>
      </c>
      <c r="G13" s="13">
        <v>0</v>
      </c>
      <c r="H13" s="14">
        <f>VLOOKUP(D:D,'[1]Production Plan '!$B:$F,5,0)</f>
        <v>26.6</v>
      </c>
      <c r="I13" s="13">
        <v>0</v>
      </c>
      <c r="J13" s="16" t="e">
        <f t="shared" si="2"/>
        <v>#DIV/0!</v>
      </c>
      <c r="K13" s="9">
        <f t="shared" si="0"/>
        <v>0</v>
      </c>
      <c r="L13" s="15" t="str">
        <f>VLOOKUP(D:D,[3]Sheet1!$A:$G,7,0)</f>
        <v>STD-White</v>
      </c>
      <c r="M13" s="45"/>
      <c r="N13" s="17">
        <v>0</v>
      </c>
      <c r="O13" s="17">
        <f t="shared" si="1"/>
        <v>12</v>
      </c>
      <c r="P13" s="18" t="s">
        <v>52</v>
      </c>
    </row>
    <row r="14" spans="1:16" ht="31.5" x14ac:dyDescent="0.25">
      <c r="A14" s="8">
        <v>9</v>
      </c>
      <c r="B14" s="9" t="s">
        <v>33</v>
      </c>
      <c r="C14" s="20"/>
      <c r="D14" s="10">
        <v>11325</v>
      </c>
      <c r="E14" s="11" t="str">
        <f>VLOOKUP(D:D,'[1]Production Plan '!$B$7:$C$426,2,0)</f>
        <v>110 mm Dia UPVC Pipe SWR-3</v>
      </c>
      <c r="F14" s="12" t="str">
        <f>VLOOKUP(D14,'[2]Production Plan '!$B$7:$G$398,6,0)</f>
        <v>White</v>
      </c>
      <c r="G14" s="13">
        <v>0</v>
      </c>
      <c r="H14" s="14">
        <f>VLOOKUP(D:D,'[1]Production Plan '!$B:$F,5,0)</f>
        <v>12.9</v>
      </c>
      <c r="I14" s="13">
        <v>0</v>
      </c>
      <c r="J14" s="16" t="e">
        <f t="shared" si="2"/>
        <v>#DIV/0!</v>
      </c>
      <c r="K14" s="9">
        <f t="shared" si="0"/>
        <v>0</v>
      </c>
      <c r="L14" s="15" t="str">
        <f>VLOOKUP(D:D,[3]Sheet1!$A:$G,7,0)</f>
        <v>SWR-White</v>
      </c>
      <c r="M14" s="45"/>
      <c r="N14" s="17">
        <v>0</v>
      </c>
      <c r="O14" s="17">
        <f t="shared" si="1"/>
        <v>12</v>
      </c>
      <c r="P14" s="18" t="s">
        <v>52</v>
      </c>
    </row>
    <row r="15" spans="1:16" ht="15.75" x14ac:dyDescent="0.25">
      <c r="A15" s="8">
        <v>10</v>
      </c>
      <c r="B15" s="9" t="s">
        <v>34</v>
      </c>
      <c r="C15" s="20" t="s">
        <v>130</v>
      </c>
      <c r="D15" s="10">
        <v>11502</v>
      </c>
      <c r="E15" s="11" t="str">
        <f>VLOOKUP(D:D,'[1]Production Plan '!$B$7:$C$426,2,0)</f>
        <v>0.75 Inch Dia UPVC Thread Pipe</v>
      </c>
      <c r="F15" s="12" t="str">
        <f>VLOOKUP(D15,'[2]Production Plan '!$B$7:$G$398,6,0)</f>
        <v>Green</v>
      </c>
      <c r="G15" s="13">
        <v>0</v>
      </c>
      <c r="H15" s="14">
        <f>VLOOKUP(D:D,'[1]Production Plan '!$B:$F,5,0)</f>
        <v>1.24</v>
      </c>
      <c r="I15" s="13">
        <v>0</v>
      </c>
      <c r="J15" s="16" t="e">
        <f t="shared" si="2"/>
        <v>#DIV/0!</v>
      </c>
      <c r="K15" s="9">
        <f t="shared" si="0"/>
        <v>0</v>
      </c>
      <c r="L15" s="15" t="str">
        <f>VLOOKUP(D:D,[3]Sheet1!$A:$G,7,0)</f>
        <v>Thread-Green</v>
      </c>
      <c r="M15" s="45"/>
      <c r="N15" s="17">
        <v>12</v>
      </c>
      <c r="O15" s="17">
        <f t="shared" si="1"/>
        <v>0</v>
      </c>
      <c r="P15" s="18"/>
    </row>
    <row r="16" spans="1:16" ht="15.75" x14ac:dyDescent="0.25">
      <c r="A16" s="8">
        <v>11</v>
      </c>
      <c r="B16" s="9" t="s">
        <v>35</v>
      </c>
      <c r="C16" s="9" t="s">
        <v>133</v>
      </c>
      <c r="D16" s="10">
        <v>11391</v>
      </c>
      <c r="E16" s="11" t="str">
        <f>VLOOKUP(D:D,'[1]Production Plan '!$B$7:$C$426,2,0)</f>
        <v>4 Inch Dia UPVC Pipe Class-D SPL</v>
      </c>
      <c r="F16" s="12" t="str">
        <f>VLOOKUP(D16,'[2]Production Plan '!$B$7:$G$398,6,0)</f>
        <v>Grey</v>
      </c>
      <c r="G16" s="13">
        <v>160</v>
      </c>
      <c r="H16" s="14">
        <f>VLOOKUP(D:D,'[1]Production Plan '!$B:$F,5,0)</f>
        <v>20</v>
      </c>
      <c r="I16" s="39">
        <v>101</v>
      </c>
      <c r="J16" s="41">
        <f>I16/(K16+K17)</f>
        <v>2.4449285887194385E-2</v>
      </c>
      <c r="K16" s="9">
        <f t="shared" si="0"/>
        <v>3301</v>
      </c>
      <c r="L16" s="15" t="str">
        <f>VLOOKUP(D:D,[3]Sheet1!$A:$G,7,0)</f>
        <v>Three Layer</v>
      </c>
      <c r="M16" s="45"/>
      <c r="N16" s="35">
        <v>12</v>
      </c>
      <c r="O16" s="35">
        <f>12-N16</f>
        <v>0</v>
      </c>
      <c r="P16" s="37"/>
    </row>
    <row r="17" spans="1:16" ht="15.75" x14ac:dyDescent="0.25">
      <c r="A17" s="8">
        <v>12</v>
      </c>
      <c r="B17" s="9" t="s">
        <v>35</v>
      </c>
      <c r="C17" s="9" t="s">
        <v>21</v>
      </c>
      <c r="D17" s="10">
        <v>11399</v>
      </c>
      <c r="E17" s="11" t="str">
        <f>VLOOKUP(D:D,'[1]Production Plan '!$B$7:$C$426,2,0)</f>
        <v>4 Inch Dia Upvc Pipe Class -D SPL Filter</v>
      </c>
      <c r="F17" s="12" t="str">
        <f>VLOOKUP(D17,'[2]Production Plan '!$B$7:$G$398,6,0)</f>
        <v>Grey</v>
      </c>
      <c r="G17" s="13">
        <v>83</v>
      </c>
      <c r="H17" s="14">
        <f>VLOOKUP(D:D,'[1]Production Plan '!$B:$F,5,0)</f>
        <v>10</v>
      </c>
      <c r="I17" s="40"/>
      <c r="J17" s="42"/>
      <c r="K17" s="9">
        <f t="shared" si="0"/>
        <v>830</v>
      </c>
      <c r="L17" s="15" t="str">
        <f>VLOOKUP(D:D,[3]Sheet1!$A:$G,7,0)</f>
        <v xml:space="preserve">Three Layer </v>
      </c>
      <c r="M17" s="45"/>
      <c r="N17" s="36"/>
      <c r="O17" s="36"/>
      <c r="P17" s="38"/>
    </row>
    <row r="18" spans="1:16" ht="15.75" x14ac:dyDescent="0.25">
      <c r="A18" s="8">
        <v>13</v>
      </c>
      <c r="B18" s="9" t="s">
        <v>36</v>
      </c>
      <c r="C18" s="9" t="s">
        <v>37</v>
      </c>
      <c r="D18" s="10">
        <v>11346</v>
      </c>
      <c r="E18" s="11" t="str">
        <f>VLOOKUP(D:D,'[1]Production Plan '!$B$7:$C$426,2,0)</f>
        <v>200 MM Dia UPVC Pipe SWR-2</v>
      </c>
      <c r="F18" s="12" t="str">
        <f>VLOOKUP(D18,'[2]Production Plan '!$B$7:$G$398,6,0)</f>
        <v>White</v>
      </c>
      <c r="G18" s="13">
        <v>0</v>
      </c>
      <c r="H18" s="14">
        <f>VLOOKUP(D:D,'[1]Production Plan '!$B:$F,5,0)</f>
        <v>35.200000000000003</v>
      </c>
      <c r="I18" s="39">
        <v>25</v>
      </c>
      <c r="J18" s="41">
        <f t="shared" ref="J18:J26" si="3">I18/(K18)</f>
        <v>1</v>
      </c>
      <c r="K18" s="9">
        <f t="shared" si="0"/>
        <v>25</v>
      </c>
      <c r="L18" s="15" t="str">
        <f>VLOOKUP(D:D,[3]Sheet1!$A:$G,7,0)</f>
        <v>SWR-White</v>
      </c>
      <c r="M18" s="45"/>
      <c r="N18" s="35">
        <v>12</v>
      </c>
      <c r="O18" s="35">
        <f>12-N18</f>
        <v>0</v>
      </c>
      <c r="P18" s="37"/>
    </row>
    <row r="19" spans="1:16" ht="15.75" x14ac:dyDescent="0.25">
      <c r="A19" s="8">
        <v>14</v>
      </c>
      <c r="B19" s="9" t="s">
        <v>36</v>
      </c>
      <c r="C19" s="9" t="s">
        <v>21</v>
      </c>
      <c r="D19" s="10">
        <v>11347</v>
      </c>
      <c r="E19" s="11" t="str">
        <f>VLOOKUP(D:D,'[1]Production Plan '!$B$7:$C$426,2,0)</f>
        <v>200 mm Dia Upvc Pipe -Spl (2.7)</v>
      </c>
      <c r="F19" s="12" t="str">
        <f>VLOOKUP(D19,'[2]Production Plan '!$B$7:$G$398,6,0)</f>
        <v>Grey</v>
      </c>
      <c r="G19" s="13">
        <v>110</v>
      </c>
      <c r="H19" s="14">
        <f>VLOOKUP(D:D,'[1]Production Plan '!$B:$F,5,0)</f>
        <v>19.2</v>
      </c>
      <c r="I19" s="40"/>
      <c r="J19" s="42"/>
      <c r="K19" s="9">
        <f t="shared" si="0"/>
        <v>2112</v>
      </c>
      <c r="L19" s="15" t="str">
        <f>VLOOKUP(D:D,[3]Sheet1!$A:$G,7,0)</f>
        <v>SWR-Grey</v>
      </c>
      <c r="M19" s="45"/>
      <c r="N19" s="36"/>
      <c r="O19" s="36"/>
      <c r="P19" s="38"/>
    </row>
    <row r="20" spans="1:16" ht="31.5" x14ac:dyDescent="0.25">
      <c r="A20" s="8">
        <v>15</v>
      </c>
      <c r="B20" s="9" t="s">
        <v>38</v>
      </c>
      <c r="C20" s="9" t="s">
        <v>89</v>
      </c>
      <c r="D20" s="10">
        <v>12934</v>
      </c>
      <c r="E20" s="11" t="str">
        <f>VLOOKUP(D:D,'[1]Production Plan '!$B$7:$C$426,2,0)</f>
        <v>110 mm Dia Upvc Pipe SWR-3 SPL</v>
      </c>
      <c r="F20" s="12" t="str">
        <f>VLOOKUP(D20,'[2]Production Plan '!$B$7:$G$398,6,0)</f>
        <v>White</v>
      </c>
      <c r="G20" s="13">
        <v>69</v>
      </c>
      <c r="H20" s="14">
        <f>VLOOKUP(D:D,'[1]Production Plan '!$B:$F,5,0)</f>
        <v>12.7</v>
      </c>
      <c r="I20" s="27">
        <v>196</v>
      </c>
      <c r="J20" s="29">
        <f t="shared" si="3"/>
        <v>0.1827846684696447</v>
      </c>
      <c r="K20" s="9">
        <f t="shared" si="0"/>
        <v>1072.3</v>
      </c>
      <c r="L20" s="15" t="str">
        <f>VLOOKUP(D:D,[3]Sheet1!$A:$G,7,0)</f>
        <v>SWR-White</v>
      </c>
      <c r="M20" s="45"/>
      <c r="N20" s="25">
        <v>8</v>
      </c>
      <c r="O20" s="25">
        <f>12-N20</f>
        <v>4</v>
      </c>
      <c r="P20" s="30" t="s">
        <v>68</v>
      </c>
    </row>
    <row r="21" spans="1:16" ht="31.5" x14ac:dyDescent="0.25">
      <c r="A21" s="8">
        <v>16</v>
      </c>
      <c r="B21" s="9" t="s">
        <v>39</v>
      </c>
      <c r="C21" s="9" t="s">
        <v>134</v>
      </c>
      <c r="D21" s="10">
        <v>11304</v>
      </c>
      <c r="E21" s="11" t="str">
        <f>VLOOKUP(D:D,'[1]Production Plan '!$B$7:$C$426,2,0)</f>
        <v>80mm Dia Upvc Pipe SWR-0</v>
      </c>
      <c r="F21" s="12" t="str">
        <f>VLOOKUP(D21,'[2]Production Plan '!$B$7:$G$398,6,0)</f>
        <v>White</v>
      </c>
      <c r="G21" s="13">
        <v>286</v>
      </c>
      <c r="H21" s="14">
        <f>VLOOKUP(D:D,'[1]Production Plan '!$B:$F,5,0)</f>
        <v>5.8</v>
      </c>
      <c r="I21" s="27">
        <v>80</v>
      </c>
      <c r="J21" s="29">
        <f t="shared" si="3"/>
        <v>4.6008741660915578E-2</v>
      </c>
      <c r="K21" s="9">
        <f t="shared" si="0"/>
        <v>1738.8</v>
      </c>
      <c r="L21" s="15" t="str">
        <f>VLOOKUP(D:D,[3]Sheet1!$A:$G,7,0)</f>
        <v>SWR-White</v>
      </c>
      <c r="M21" s="45"/>
      <c r="N21" s="25">
        <v>8</v>
      </c>
      <c r="O21" s="25">
        <f t="shared" ref="O21:O26" si="4">12-N21</f>
        <v>4</v>
      </c>
      <c r="P21" s="30" t="s">
        <v>68</v>
      </c>
    </row>
    <row r="22" spans="1:16" ht="31.5" x14ac:dyDescent="0.25">
      <c r="A22" s="8">
        <v>17</v>
      </c>
      <c r="B22" s="9" t="s">
        <v>40</v>
      </c>
      <c r="C22" s="9"/>
      <c r="D22" s="10">
        <v>13397</v>
      </c>
      <c r="E22" s="11" t="str">
        <f>VLOOKUP(D:D,'[1]Production Plan '!$B$7:$C$426,2,0)</f>
        <v>1.5 Inch Dia Upvc Pipe Class D-SP (Br)</v>
      </c>
      <c r="F22" s="12" t="str">
        <f>VLOOKUP(D22,'[2]Production Plan '!$B$7:$G$398,6,0)</f>
        <v>Grey</v>
      </c>
      <c r="G22" s="13">
        <v>0</v>
      </c>
      <c r="H22" s="14">
        <f>VLOOKUP(D:D,'[1]Production Plan '!$B:$F,5,0)</f>
        <v>2.85</v>
      </c>
      <c r="I22" s="13">
        <v>0</v>
      </c>
      <c r="J22" s="29" t="e">
        <f t="shared" si="3"/>
        <v>#DIV/0!</v>
      </c>
      <c r="K22" s="9">
        <f t="shared" si="0"/>
        <v>0</v>
      </c>
      <c r="L22" s="15" t="str">
        <f>VLOOKUP(D:D,[3]Sheet1!$A:$G,7,0)</f>
        <v>STD-Grey</v>
      </c>
      <c r="M22" s="45"/>
      <c r="N22" s="17">
        <v>0</v>
      </c>
      <c r="O22" s="25">
        <f t="shared" si="4"/>
        <v>12</v>
      </c>
      <c r="P22" s="18" t="s">
        <v>52</v>
      </c>
    </row>
    <row r="23" spans="1:16" ht="47.25" x14ac:dyDescent="0.25">
      <c r="A23" s="8">
        <v>18</v>
      </c>
      <c r="B23" s="9" t="s">
        <v>41</v>
      </c>
      <c r="C23" s="9" t="s">
        <v>136</v>
      </c>
      <c r="D23" s="10">
        <v>11503</v>
      </c>
      <c r="E23" s="11" t="str">
        <f>VLOOKUP(D:D,'[1]Production Plan '!$B$7:$C$426,2,0)</f>
        <v>1 Inch Dia UPVC Thread Pipe</v>
      </c>
      <c r="F23" s="12" t="str">
        <f>VLOOKUP(D23,'[2]Production Plan '!$B$7:$G$398,6,0)</f>
        <v>Green</v>
      </c>
      <c r="G23" s="13">
        <v>700</v>
      </c>
      <c r="H23" s="14">
        <f>VLOOKUP(D:D,'[1]Production Plan '!$B:$F,5,0)</f>
        <v>1.65</v>
      </c>
      <c r="I23" s="13">
        <v>33</v>
      </c>
      <c r="J23" s="62">
        <f t="shared" si="3"/>
        <v>2.7777777777777776E-2</v>
      </c>
      <c r="K23" s="9">
        <f t="shared" si="0"/>
        <v>1188</v>
      </c>
      <c r="L23" s="15" t="str">
        <f>VLOOKUP(D:D,[3]Sheet1!$A:$G,7,0)</f>
        <v>Thread-Green</v>
      </c>
      <c r="M23" s="45"/>
      <c r="N23" s="17">
        <v>11</v>
      </c>
      <c r="O23" s="25">
        <f t="shared" si="4"/>
        <v>1</v>
      </c>
      <c r="P23" s="18" t="s">
        <v>148</v>
      </c>
    </row>
    <row r="24" spans="1:16" ht="31.5" x14ac:dyDescent="0.25">
      <c r="A24" s="8">
        <v>19</v>
      </c>
      <c r="B24" s="9" t="s">
        <v>42</v>
      </c>
      <c r="C24" s="9" t="s">
        <v>137</v>
      </c>
      <c r="D24" s="10">
        <v>12571</v>
      </c>
      <c r="E24" s="11" t="str">
        <f>VLOOKUP(D:D,'[1]Production Plan '!$B$7:$C$426,2,0)</f>
        <v>1.25 Inc HDPE Coil Pipe-Green</v>
      </c>
      <c r="F24" s="12" t="str">
        <f>VLOOKUP(D24,'[2]Production Plan '!$B$7:$G$398,6,0)</f>
        <v>Green</v>
      </c>
      <c r="G24" s="13">
        <v>6</v>
      </c>
      <c r="H24" s="14">
        <f>VLOOKUP(D:D,'[1]Production Plan '!$B:$F,5,0)</f>
        <v>46</v>
      </c>
      <c r="I24" s="28">
        <v>120</v>
      </c>
      <c r="J24" s="62">
        <f t="shared" si="3"/>
        <v>0.30303030303030304</v>
      </c>
      <c r="K24" s="9">
        <f t="shared" si="0"/>
        <v>396</v>
      </c>
      <c r="L24" s="15" t="str">
        <f>VLOOKUP(D:D,[3]Sheet1!$A:$G,7,0)</f>
        <v>HDPE D/L Green</v>
      </c>
      <c r="M24" s="45"/>
      <c r="N24" s="26">
        <v>4</v>
      </c>
      <c r="O24" s="25">
        <f t="shared" si="4"/>
        <v>8</v>
      </c>
      <c r="P24" s="31" t="s">
        <v>149</v>
      </c>
    </row>
    <row r="25" spans="1:16" ht="15.75" x14ac:dyDescent="0.25">
      <c r="A25" s="8">
        <v>20</v>
      </c>
      <c r="B25" s="9" t="s">
        <v>43</v>
      </c>
      <c r="C25" s="9" t="s">
        <v>51</v>
      </c>
      <c r="D25" s="10">
        <v>11317</v>
      </c>
      <c r="E25" s="11" t="str">
        <f>VLOOKUP(D:D,'[1]Production Plan '!$B$7:$C$426,2,0)</f>
        <v>110mm Dia Upvc Pipe SWR-1 Special (White)</v>
      </c>
      <c r="F25" s="12" t="str">
        <f>VLOOKUP(D25,'[2]Production Plan '!$B$7:$G$398,6,0)</f>
        <v>White</v>
      </c>
      <c r="G25" s="13">
        <v>475</v>
      </c>
      <c r="H25" s="14">
        <f>VLOOKUP(D:D,'[1]Production Plan '!$B:$F,5,0)</f>
        <v>10</v>
      </c>
      <c r="I25" s="13">
        <v>80</v>
      </c>
      <c r="J25" s="16">
        <f t="shared" si="3"/>
        <v>1.6563146997929608E-2</v>
      </c>
      <c r="K25" s="9">
        <f t="shared" si="0"/>
        <v>4830</v>
      </c>
      <c r="L25" s="15" t="str">
        <f>VLOOKUP(D:D,[3]Sheet1!$A:$G,7,0)</f>
        <v>SWR-White</v>
      </c>
      <c r="M25" s="45"/>
      <c r="N25" s="17">
        <v>12</v>
      </c>
      <c r="O25" s="25">
        <f t="shared" si="4"/>
        <v>0</v>
      </c>
      <c r="P25" s="18"/>
    </row>
    <row r="26" spans="1:16" ht="31.5" x14ac:dyDescent="0.25">
      <c r="A26" s="8">
        <v>21</v>
      </c>
      <c r="B26" s="9" t="s">
        <v>44</v>
      </c>
      <c r="C26" s="9" t="s">
        <v>137</v>
      </c>
      <c r="D26" s="10">
        <v>13390</v>
      </c>
      <c r="E26" s="11" t="str">
        <f>VLOOKUP(D:D,'[1]Production Plan '!$B$7:$C$426,2,0)</f>
        <v>CPVC Pipe 1.5''(40mm)X3M-SDR-13.5</v>
      </c>
      <c r="F26" s="12" t="str">
        <f>VLOOKUP(D26,'[2]Production Plan '!$B$7:$G$398,6,0)</f>
        <v>Off White</v>
      </c>
      <c r="G26" s="13">
        <v>210</v>
      </c>
      <c r="H26" s="14">
        <f>VLOOKUP(D:D,'[1]Production Plan '!$B:$F,5,0)</f>
        <v>1.8</v>
      </c>
      <c r="I26" s="27">
        <v>221</v>
      </c>
      <c r="J26" s="16">
        <f t="shared" si="3"/>
        <v>0.36894824707846413</v>
      </c>
      <c r="K26" s="9">
        <f t="shared" si="0"/>
        <v>599</v>
      </c>
      <c r="L26" s="15" t="str">
        <f>VLOOKUP(D:D,[3]Sheet1!$A:$G,7,0)</f>
        <v>Com..</v>
      </c>
      <c r="M26" s="45"/>
      <c r="N26" s="25">
        <v>8</v>
      </c>
      <c r="O26" s="25">
        <f t="shared" si="4"/>
        <v>4</v>
      </c>
      <c r="P26" s="30" t="s">
        <v>68</v>
      </c>
    </row>
    <row r="27" spans="1:16" ht="15.75" x14ac:dyDescent="0.25">
      <c r="A27" s="8"/>
      <c r="B27" s="9"/>
      <c r="C27" s="9"/>
      <c r="D27" s="9"/>
      <c r="E27" s="11"/>
      <c r="F27" s="12"/>
      <c r="G27" s="7"/>
      <c r="H27" s="14"/>
      <c r="I27" s="21">
        <f>SUM(I6:I26)</f>
        <v>1397</v>
      </c>
      <c r="J27" s="21"/>
      <c r="K27" s="21">
        <f>SUM(K6:K26)</f>
        <v>26010.7</v>
      </c>
      <c r="L27" s="15"/>
      <c r="M27" s="45"/>
      <c r="N27" s="17"/>
      <c r="O27" s="17"/>
      <c r="P27" s="9"/>
    </row>
  </sheetData>
  <mergeCells count="14">
    <mergeCell ref="N16:N17"/>
    <mergeCell ref="O16:O17"/>
    <mergeCell ref="P16:P17"/>
    <mergeCell ref="I18:I19"/>
    <mergeCell ref="J18:J19"/>
    <mergeCell ref="N18:N19"/>
    <mergeCell ref="O18:O19"/>
    <mergeCell ref="P18:P19"/>
    <mergeCell ref="F1:J1"/>
    <mergeCell ref="F2:J2"/>
    <mergeCell ref="F3:L3"/>
    <mergeCell ref="M6:M27"/>
    <mergeCell ref="I16:I17"/>
    <mergeCell ref="J16:J17"/>
  </mergeCells>
  <conditionalFormatting sqref="E27 E6:E25">
    <cfRule type="duplicateValues" dxfId="11" priority="2"/>
  </conditionalFormatting>
  <conditionalFormatting sqref="E26">
    <cfRule type="duplicateValues" dxfId="10" priority="1"/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30"/>
  <sheetViews>
    <sheetView topLeftCell="A16" workbookViewId="0">
      <selection activeCell="K31" sqref="K31"/>
    </sheetView>
  </sheetViews>
  <sheetFormatPr defaultRowHeight="15" x14ac:dyDescent="0.25"/>
  <cols>
    <col min="11" max="11" width="9.5703125" bestFit="1" customWidth="1"/>
  </cols>
  <sheetData>
    <row r="1" spans="1:16" ht="15.75" x14ac:dyDescent="0.25">
      <c r="A1" s="32"/>
      <c r="B1" s="32"/>
      <c r="C1" s="32"/>
      <c r="D1" s="32"/>
      <c r="E1" s="32"/>
      <c r="F1" s="43" t="s">
        <v>0</v>
      </c>
      <c r="G1" s="43"/>
      <c r="H1" s="43"/>
      <c r="I1" s="43"/>
      <c r="J1" s="43"/>
      <c r="K1" s="32"/>
      <c r="L1" s="32"/>
      <c r="M1" s="32"/>
      <c r="N1" s="32"/>
      <c r="O1" s="32"/>
      <c r="P1" s="32"/>
    </row>
    <row r="2" spans="1:16" ht="15.75" x14ac:dyDescent="0.25">
      <c r="A2" s="32"/>
      <c r="B2" s="1"/>
      <c r="C2" s="2"/>
      <c r="D2" s="32"/>
      <c r="E2" s="32"/>
      <c r="F2" s="43" t="s">
        <v>1</v>
      </c>
      <c r="G2" s="43"/>
      <c r="H2" s="43"/>
      <c r="I2" s="43"/>
      <c r="J2" s="43"/>
      <c r="K2" s="32"/>
      <c r="L2" s="32"/>
      <c r="M2" s="32"/>
      <c r="N2" s="3"/>
      <c r="O2" s="32"/>
      <c r="P2" s="32"/>
    </row>
    <row r="3" spans="1:16" ht="15.75" x14ac:dyDescent="0.25">
      <c r="A3" s="32"/>
      <c r="B3" s="32"/>
      <c r="C3" s="32"/>
      <c r="D3" s="32"/>
      <c r="E3" s="32"/>
      <c r="F3" s="44" t="s">
        <v>2</v>
      </c>
      <c r="G3" s="44"/>
      <c r="H3" s="44"/>
      <c r="I3" s="44"/>
      <c r="J3" s="44"/>
      <c r="K3" s="44"/>
      <c r="L3" s="44"/>
      <c r="M3" s="32"/>
      <c r="N3" s="32"/>
      <c r="O3" s="32"/>
      <c r="P3" s="32"/>
    </row>
    <row r="4" spans="1:16" ht="15.75" x14ac:dyDescent="0.25">
      <c r="A4" s="32"/>
      <c r="B4" s="32"/>
      <c r="C4" s="32"/>
      <c r="D4" s="32"/>
      <c r="E4" s="4" t="s">
        <v>150</v>
      </c>
      <c r="F4" s="32"/>
      <c r="G4" s="32"/>
      <c r="H4" s="32"/>
      <c r="I4" s="32"/>
      <c r="J4" s="32"/>
      <c r="K4" s="32"/>
      <c r="L4" s="5"/>
      <c r="M4" s="32"/>
      <c r="N4" s="32"/>
      <c r="O4" s="32"/>
      <c r="P4" s="6"/>
    </row>
    <row r="5" spans="1:16" ht="78.75" x14ac:dyDescent="0.25">
      <c r="A5" s="7" t="s">
        <v>3</v>
      </c>
      <c r="B5" s="7" t="s">
        <v>4</v>
      </c>
      <c r="C5" s="7" t="s">
        <v>5</v>
      </c>
      <c r="D5" s="7" t="s">
        <v>6</v>
      </c>
      <c r="E5" s="7" t="s">
        <v>7</v>
      </c>
      <c r="F5" s="7" t="s">
        <v>8</v>
      </c>
      <c r="G5" s="7" t="s">
        <v>9</v>
      </c>
      <c r="H5" s="7" t="s">
        <v>10</v>
      </c>
      <c r="I5" s="7" t="s">
        <v>11</v>
      </c>
      <c r="J5" s="7" t="s">
        <v>12</v>
      </c>
      <c r="K5" s="7" t="s">
        <v>13</v>
      </c>
      <c r="L5" s="7" t="s">
        <v>14</v>
      </c>
      <c r="M5" s="7" t="s">
        <v>15</v>
      </c>
      <c r="N5" s="7" t="s">
        <v>16</v>
      </c>
      <c r="O5" s="7" t="s">
        <v>17</v>
      </c>
      <c r="P5" s="7" t="s">
        <v>18</v>
      </c>
    </row>
    <row r="6" spans="1:16" ht="31.5" x14ac:dyDescent="0.25">
      <c r="A6" s="8">
        <v>1</v>
      </c>
      <c r="B6" s="9" t="s">
        <v>19</v>
      </c>
      <c r="C6" s="9"/>
      <c r="D6" s="10">
        <v>11141</v>
      </c>
      <c r="E6" s="11" t="str">
        <f>VLOOKUP(D:D,'[1]Production Plan '!$B$7:$C$426,2,0)</f>
        <v>4 Inch Upvc Pipe Star (Gray 20 Ft )</v>
      </c>
      <c r="F6" s="12" t="str">
        <f>VLOOKUP(D6,'[2]Production Plan '!$B$7:$G$398,6,0)</f>
        <v>Grey</v>
      </c>
      <c r="G6" s="13">
        <v>0</v>
      </c>
      <c r="H6" s="14">
        <f>VLOOKUP(D:D,'[1]Production Plan '!$B:$F,5,0)</f>
        <v>12.5</v>
      </c>
      <c r="I6" s="13">
        <v>0</v>
      </c>
      <c r="J6" s="16" t="e">
        <f>I6/(K6)</f>
        <v>#DIV/0!</v>
      </c>
      <c r="K6" s="9">
        <f>G6*H6+I6</f>
        <v>0</v>
      </c>
      <c r="L6" s="15" t="str">
        <f>VLOOKUP(D:D,[3]Sheet1!$A:$G,7,0)</f>
        <v>SWR-Grey</v>
      </c>
      <c r="M6" s="45">
        <f>I30/K30</f>
        <v>5.1866667573344342E-2</v>
      </c>
      <c r="N6" s="17">
        <v>0</v>
      </c>
      <c r="O6" s="17">
        <f>12-N6</f>
        <v>12</v>
      </c>
      <c r="P6" s="18" t="s">
        <v>52</v>
      </c>
    </row>
    <row r="7" spans="1:16" ht="15.75" x14ac:dyDescent="0.25">
      <c r="A7" s="8">
        <v>2</v>
      </c>
      <c r="B7" s="9" t="s">
        <v>22</v>
      </c>
      <c r="C7" s="9" t="s">
        <v>141</v>
      </c>
      <c r="D7" s="10">
        <v>12947</v>
      </c>
      <c r="E7" s="11" t="str">
        <f>VLOOKUP(D:D,'[1]Production Plan '!$B$7:$C$426,2,0)</f>
        <v>18 Inch Dia Upvc Pipe Class-D</v>
      </c>
      <c r="F7" s="12" t="str">
        <f>VLOOKUP(D7,'[2]Production Plan '!$B$7:$G$398,6,0)</f>
        <v>Grey</v>
      </c>
      <c r="G7" s="13">
        <v>3</v>
      </c>
      <c r="H7" s="14">
        <f>VLOOKUP(D:D,'[1]Production Plan '!$B:$F,5,0)</f>
        <v>302</v>
      </c>
      <c r="I7" s="46">
        <v>710</v>
      </c>
      <c r="J7" s="41">
        <f>I7/(K7)</f>
        <v>0.43935643564356436</v>
      </c>
      <c r="K7" s="9">
        <f t="shared" ref="K7:K29" si="0">G7*H7+I7</f>
        <v>1616</v>
      </c>
      <c r="L7" s="15" t="e">
        <f>VLOOKUP(D:D,[3]Sheet1!$A:$G,7,0)</f>
        <v>#N/A</v>
      </c>
      <c r="M7" s="45"/>
      <c r="N7" s="35">
        <v>7</v>
      </c>
      <c r="O7" s="35">
        <f t="shared" ref="O7:O16" si="1">12-N7</f>
        <v>5</v>
      </c>
      <c r="P7" s="37" t="s">
        <v>100</v>
      </c>
    </row>
    <row r="8" spans="1:16" ht="15.75" x14ac:dyDescent="0.25">
      <c r="A8" s="8">
        <v>3</v>
      </c>
      <c r="B8" s="9" t="s">
        <v>22</v>
      </c>
      <c r="C8" s="9" t="s">
        <v>21</v>
      </c>
      <c r="D8" s="10">
        <v>11195</v>
      </c>
      <c r="E8" s="11" t="str">
        <f>VLOOKUP(D:D,'[1]Production Plan '!$B$7:$C$426,2,0)</f>
        <v>16Inch Dia Upvc Pipe Class-B</v>
      </c>
      <c r="F8" s="12" t="str">
        <f>VLOOKUP(D8,'[2]Production Plan '!$B$7:$G$398,6,0)</f>
        <v>Grey</v>
      </c>
      <c r="G8" s="13">
        <v>11</v>
      </c>
      <c r="H8" s="14">
        <f>VLOOKUP(D:D,'[1]Production Plan '!$B:$F,5,0)</f>
        <v>132</v>
      </c>
      <c r="I8" s="47"/>
      <c r="J8" s="42"/>
      <c r="K8" s="9">
        <f t="shared" si="0"/>
        <v>1452</v>
      </c>
      <c r="L8" s="15" t="str">
        <f>VLOOKUP(D:D,[3]Sheet1!$A:$G,7,0)</f>
        <v>SBS-Grey</v>
      </c>
      <c r="M8" s="45"/>
      <c r="N8" s="36"/>
      <c r="O8" s="36"/>
      <c r="P8" s="38"/>
    </row>
    <row r="9" spans="1:16" ht="31.5" x14ac:dyDescent="0.25">
      <c r="A9" s="8">
        <v>4</v>
      </c>
      <c r="B9" s="9" t="s">
        <v>24</v>
      </c>
      <c r="C9" s="19"/>
      <c r="D9" s="10">
        <v>11105</v>
      </c>
      <c r="E9" s="11" t="str">
        <f>VLOOKUP(D:D,'[1]Production Plan '!$B$7:$C$426,2,0)</f>
        <v>1 Inch Dia Upvc Pipe Class-D</v>
      </c>
      <c r="F9" s="12" t="str">
        <f>VLOOKUP(D9,'[2]Production Plan '!$B$7:$G$398,6,0)</f>
        <v>Grey</v>
      </c>
      <c r="G9" s="13">
        <v>0</v>
      </c>
      <c r="H9" s="14">
        <f>VLOOKUP(D:D,'[1]Production Plan '!$B:$F,5,0)</f>
        <v>0.85</v>
      </c>
      <c r="I9" s="13">
        <v>0</v>
      </c>
      <c r="J9" s="16" t="e">
        <f t="shared" ref="J9:J16" si="2">I9/(K9)</f>
        <v>#DIV/0!</v>
      </c>
      <c r="K9" s="9">
        <f t="shared" si="0"/>
        <v>0</v>
      </c>
      <c r="L9" s="15" t="str">
        <f>VLOOKUP(D:D,[3]Sheet1!$A:$G,7,0)</f>
        <v>STD-Grey</v>
      </c>
      <c r="M9" s="45"/>
      <c r="N9" s="17">
        <v>0</v>
      </c>
      <c r="O9" s="17">
        <f t="shared" si="1"/>
        <v>12</v>
      </c>
      <c r="P9" s="18" t="s">
        <v>52</v>
      </c>
    </row>
    <row r="10" spans="1:16" ht="15.75" x14ac:dyDescent="0.25">
      <c r="A10" s="8">
        <v>5</v>
      </c>
      <c r="B10" s="9" t="s">
        <v>25</v>
      </c>
      <c r="C10" s="19" t="s">
        <v>110</v>
      </c>
      <c r="D10" s="10">
        <v>11506</v>
      </c>
      <c r="E10" s="11" t="str">
        <f>VLOOKUP(D:D,'[1]Production Plan '!$B$7:$C$426,2,0)</f>
        <v>2 Inch Dia UPVC Thread Pipe</v>
      </c>
      <c r="F10" s="12" t="str">
        <f>VLOOKUP(D10,'[2]Production Plan '!$B$7:$G$398,6,0)</f>
        <v>Green</v>
      </c>
      <c r="G10" s="13">
        <v>650</v>
      </c>
      <c r="H10" s="14">
        <f>VLOOKUP(D:D,'[1]Production Plan '!$B:$F,5,0)</f>
        <v>3.9</v>
      </c>
      <c r="I10" s="27">
        <v>0</v>
      </c>
      <c r="J10" s="16">
        <f t="shared" si="2"/>
        <v>0</v>
      </c>
      <c r="K10" s="9">
        <f t="shared" si="0"/>
        <v>2535</v>
      </c>
      <c r="L10" s="15" t="str">
        <f>VLOOKUP(D:D,[3]Sheet1!$A:$G,7,0)</f>
        <v>Thread-Green</v>
      </c>
      <c r="M10" s="45"/>
      <c r="N10" s="25">
        <v>12</v>
      </c>
      <c r="O10" s="17">
        <f t="shared" si="1"/>
        <v>0</v>
      </c>
      <c r="P10" s="30"/>
    </row>
    <row r="11" spans="1:16" ht="15.75" x14ac:dyDescent="0.25">
      <c r="A11" s="8">
        <v>6</v>
      </c>
      <c r="B11" s="22" t="s">
        <v>26</v>
      </c>
      <c r="C11" s="9" t="s">
        <v>151</v>
      </c>
      <c r="D11" s="10">
        <v>13359</v>
      </c>
      <c r="E11" s="11" t="str">
        <f>VLOOKUP(D:D,'[1]Production Plan '!$B$7:$C$426,2,0)</f>
        <v>uPVC Pipe 1.5 Inch x 15 Ft Class-Economy (S)</v>
      </c>
      <c r="F11" s="12" t="str">
        <f>VLOOKUP(D11,'[2]Production Plan '!$B$7:$G$398,6,0)</f>
        <v>White</v>
      </c>
      <c r="G11" s="13">
        <v>790</v>
      </c>
      <c r="H11" s="14">
        <f>VLOOKUP(D:D,'[1]Production Plan '!$B:$F,5,0)</f>
        <v>1.72</v>
      </c>
      <c r="I11" s="27">
        <v>35</v>
      </c>
      <c r="J11" s="29">
        <f t="shared" si="2"/>
        <v>2.51112067728512E-2</v>
      </c>
      <c r="K11" s="9">
        <f t="shared" si="0"/>
        <v>1393.8</v>
      </c>
      <c r="L11" s="15" t="str">
        <f>VLOOKUP(D:D,[3]Sheet1!$A:$G,7,0)</f>
        <v>Special-White</v>
      </c>
      <c r="M11" s="45"/>
      <c r="N11" s="25">
        <v>12</v>
      </c>
      <c r="O11" s="17">
        <f t="shared" si="1"/>
        <v>0</v>
      </c>
      <c r="P11" s="30"/>
    </row>
    <row r="12" spans="1:16" ht="15.75" x14ac:dyDescent="0.25">
      <c r="A12" s="8">
        <v>7</v>
      </c>
      <c r="B12" s="22" t="s">
        <v>28</v>
      </c>
      <c r="C12" s="20" t="s">
        <v>21</v>
      </c>
      <c r="D12" s="10">
        <v>11303</v>
      </c>
      <c r="E12" s="11" t="str">
        <f>VLOOKUP(D:D,'[1]Production Plan '!$B$7:$C$426,2,0)</f>
        <v>50mm Dia UPVC Pipe Class-ISO</v>
      </c>
      <c r="F12" s="12" t="str">
        <f>VLOOKUP(D12,'[2]Production Plan '!$B$7:$G$398,6,0)</f>
        <v>White</v>
      </c>
      <c r="G12" s="61">
        <v>590</v>
      </c>
      <c r="H12" s="14">
        <f>VLOOKUP(D:D,'[1]Production Plan '!$B:$F,5,0)</f>
        <v>2.2000000000000002</v>
      </c>
      <c r="I12" s="27">
        <v>0</v>
      </c>
      <c r="J12" s="29">
        <f t="shared" si="2"/>
        <v>0</v>
      </c>
      <c r="K12" s="9">
        <f t="shared" si="0"/>
        <v>1298</v>
      </c>
      <c r="L12" s="15" t="str">
        <f>VLOOKUP(D:D,[3]Sheet1!$A:$G,7,0)</f>
        <v>SWR-White</v>
      </c>
      <c r="M12" s="45"/>
      <c r="N12" s="25">
        <v>12</v>
      </c>
      <c r="O12" s="17">
        <f t="shared" si="1"/>
        <v>0</v>
      </c>
      <c r="P12" s="30"/>
    </row>
    <row r="13" spans="1:16" ht="47.25" x14ac:dyDescent="0.25">
      <c r="A13" s="8">
        <v>8</v>
      </c>
      <c r="B13" s="9" t="s">
        <v>30</v>
      </c>
      <c r="C13" s="9" t="s">
        <v>29</v>
      </c>
      <c r="D13" s="10">
        <v>11309</v>
      </c>
      <c r="E13" s="11" t="str">
        <f>VLOOKUP(D:D,'[1]Production Plan '!$B$7:$C$426,2,0)</f>
        <v>110mm Dia UPVC Pipe ISO-2</v>
      </c>
      <c r="F13" s="12" t="str">
        <f>VLOOKUP(D13,'[2]Production Plan '!$B$7:$G$398,6,0)</f>
        <v>White</v>
      </c>
      <c r="G13" s="13">
        <v>224</v>
      </c>
      <c r="H13" s="14">
        <f>VLOOKUP(D:D,'[1]Production Plan '!$B:$F,5,0)</f>
        <v>11</v>
      </c>
      <c r="I13" s="27">
        <v>100</v>
      </c>
      <c r="J13" s="16">
        <f t="shared" si="2"/>
        <v>3.9001560062402497E-2</v>
      </c>
      <c r="K13" s="9">
        <f t="shared" si="0"/>
        <v>2564</v>
      </c>
      <c r="L13" s="15" t="str">
        <f>VLOOKUP(D:D,[3]Sheet1!$A:$G,7,0)</f>
        <v>SWR-White</v>
      </c>
      <c r="M13" s="45"/>
      <c r="N13" s="25">
        <v>10</v>
      </c>
      <c r="O13" s="17">
        <f t="shared" si="1"/>
        <v>2</v>
      </c>
      <c r="P13" s="30" t="s">
        <v>152</v>
      </c>
    </row>
    <row r="14" spans="1:16" ht="31.5" x14ac:dyDescent="0.25">
      <c r="A14" s="8">
        <v>9</v>
      </c>
      <c r="B14" s="9" t="s">
        <v>32</v>
      </c>
      <c r="C14" s="9"/>
      <c r="D14" s="10">
        <v>11335</v>
      </c>
      <c r="E14" s="11" t="str">
        <f>VLOOKUP(D:D,'[1]Production Plan '!$B$7:$C$426,2,0)</f>
        <v>160mm Dia Upvc PN-8 Pipe</v>
      </c>
      <c r="F14" s="12" t="str">
        <f>VLOOKUP(D14,'[2]Production Plan '!$B$7:$G$398,6,0)</f>
        <v>White</v>
      </c>
      <c r="G14" s="13">
        <v>0</v>
      </c>
      <c r="H14" s="14">
        <f>VLOOKUP(D:D,'[1]Production Plan '!$B:$F,5,0)</f>
        <v>26.6</v>
      </c>
      <c r="I14" s="13">
        <v>0</v>
      </c>
      <c r="J14" s="16" t="e">
        <f t="shared" si="2"/>
        <v>#DIV/0!</v>
      </c>
      <c r="K14" s="9">
        <f t="shared" si="0"/>
        <v>0</v>
      </c>
      <c r="L14" s="15" t="str">
        <f>VLOOKUP(D:D,[3]Sheet1!$A:$G,7,0)</f>
        <v>STD-White</v>
      </c>
      <c r="M14" s="45"/>
      <c r="N14" s="17">
        <v>0</v>
      </c>
      <c r="O14" s="17">
        <f t="shared" si="1"/>
        <v>12</v>
      </c>
      <c r="P14" s="18" t="s">
        <v>52</v>
      </c>
    </row>
    <row r="15" spans="1:16" ht="31.5" x14ac:dyDescent="0.25">
      <c r="A15" s="8">
        <v>10</v>
      </c>
      <c r="B15" s="9" t="s">
        <v>33</v>
      </c>
      <c r="C15" s="20"/>
      <c r="D15" s="10">
        <v>11325</v>
      </c>
      <c r="E15" s="11" t="str">
        <f>VLOOKUP(D:D,'[1]Production Plan '!$B$7:$C$426,2,0)</f>
        <v>110 mm Dia UPVC Pipe SWR-3</v>
      </c>
      <c r="F15" s="12" t="str">
        <f>VLOOKUP(D15,'[2]Production Plan '!$B$7:$G$398,6,0)</f>
        <v>White</v>
      </c>
      <c r="G15" s="13">
        <v>0</v>
      </c>
      <c r="H15" s="14">
        <f>VLOOKUP(D:D,'[1]Production Plan '!$B:$F,5,0)</f>
        <v>12.9</v>
      </c>
      <c r="I15" s="13">
        <v>0</v>
      </c>
      <c r="J15" s="16" t="e">
        <f t="shared" si="2"/>
        <v>#DIV/0!</v>
      </c>
      <c r="K15" s="9">
        <f t="shared" si="0"/>
        <v>0</v>
      </c>
      <c r="L15" s="15" t="str">
        <f>VLOOKUP(D:D,[3]Sheet1!$A:$G,7,0)</f>
        <v>SWR-White</v>
      </c>
      <c r="M15" s="45"/>
      <c r="N15" s="17">
        <v>0</v>
      </c>
      <c r="O15" s="17">
        <f t="shared" si="1"/>
        <v>12</v>
      </c>
      <c r="P15" s="18" t="s">
        <v>52</v>
      </c>
    </row>
    <row r="16" spans="1:16" ht="15.75" x14ac:dyDescent="0.25">
      <c r="A16" s="8">
        <v>11</v>
      </c>
      <c r="B16" s="9" t="s">
        <v>34</v>
      </c>
      <c r="C16" s="20" t="s">
        <v>110</v>
      </c>
      <c r="D16" s="10">
        <v>11502</v>
      </c>
      <c r="E16" s="11" t="str">
        <f>VLOOKUP(D:D,'[1]Production Plan '!$B$7:$C$426,2,0)</f>
        <v>0.75 Inch Dia UPVC Thread Pipe</v>
      </c>
      <c r="F16" s="12" t="str">
        <f>VLOOKUP(D16,'[2]Production Plan '!$B$7:$G$398,6,0)</f>
        <v>Green</v>
      </c>
      <c r="G16" s="13">
        <f>1880+133.3</f>
        <v>2013.3</v>
      </c>
      <c r="H16" s="14">
        <f>VLOOKUP(D:D,'[1]Production Plan '!$B:$F,5,0)</f>
        <v>1.24</v>
      </c>
      <c r="I16" s="13">
        <v>25</v>
      </c>
      <c r="J16" s="16">
        <f t="shared" si="2"/>
        <v>9.9147647503938161E-3</v>
      </c>
      <c r="K16" s="9">
        <f t="shared" si="0"/>
        <v>2521.4919999999997</v>
      </c>
      <c r="L16" s="15" t="str">
        <f>VLOOKUP(D:D,[3]Sheet1!$A:$G,7,0)</f>
        <v>Thread-Green</v>
      </c>
      <c r="M16" s="45"/>
      <c r="N16" s="17">
        <v>12</v>
      </c>
      <c r="O16" s="17">
        <f t="shared" si="1"/>
        <v>0</v>
      </c>
      <c r="P16" s="18"/>
    </row>
    <row r="17" spans="1:16" ht="15.75" x14ac:dyDescent="0.25">
      <c r="A17" s="8">
        <v>12</v>
      </c>
      <c r="B17" s="9" t="s">
        <v>35</v>
      </c>
      <c r="C17" s="9" t="s">
        <v>79</v>
      </c>
      <c r="D17" s="10">
        <v>11391</v>
      </c>
      <c r="E17" s="11" t="str">
        <f>VLOOKUP(D:D,'[1]Production Plan '!$B$7:$C$426,2,0)</f>
        <v>4 Inch Dia UPVC Pipe Class-D SPL</v>
      </c>
      <c r="F17" s="12" t="str">
        <f>VLOOKUP(D17,'[2]Production Plan '!$B$7:$G$398,6,0)</f>
        <v>Grey</v>
      </c>
      <c r="G17" s="13">
        <v>80</v>
      </c>
      <c r="H17" s="14">
        <f>VLOOKUP(D:D,'[1]Production Plan '!$B:$F,5,0)</f>
        <v>20</v>
      </c>
      <c r="I17" s="39">
        <v>40</v>
      </c>
      <c r="J17" s="41">
        <f>I17/(K17+K18)</f>
        <v>1.3201320132013201E-2</v>
      </c>
      <c r="K17" s="9">
        <f t="shared" si="0"/>
        <v>1640</v>
      </c>
      <c r="L17" s="15" t="str">
        <f>VLOOKUP(D:D,[3]Sheet1!$A:$G,7,0)</f>
        <v>Three Layer</v>
      </c>
      <c r="M17" s="45"/>
      <c r="N17" s="35">
        <v>12</v>
      </c>
      <c r="O17" s="35">
        <f>12-N17</f>
        <v>0</v>
      </c>
      <c r="P17" s="37"/>
    </row>
    <row r="18" spans="1:16" ht="15.75" x14ac:dyDescent="0.25">
      <c r="A18" s="8">
        <v>13</v>
      </c>
      <c r="B18" s="9" t="s">
        <v>35</v>
      </c>
      <c r="C18" s="9" t="s">
        <v>21</v>
      </c>
      <c r="D18" s="10">
        <v>11399</v>
      </c>
      <c r="E18" s="11" t="str">
        <f>VLOOKUP(D:D,'[1]Production Plan '!$B$7:$C$426,2,0)</f>
        <v>4 Inch Dia Upvc Pipe Class -D SPL Filter</v>
      </c>
      <c r="F18" s="12" t="str">
        <f>VLOOKUP(D18,'[2]Production Plan '!$B$7:$G$398,6,0)</f>
        <v>Grey</v>
      </c>
      <c r="G18" s="13">
        <v>139</v>
      </c>
      <c r="H18" s="14">
        <f>VLOOKUP(D:D,'[1]Production Plan '!$B:$F,5,0)</f>
        <v>10</v>
      </c>
      <c r="I18" s="40"/>
      <c r="J18" s="42"/>
      <c r="K18" s="9">
        <f t="shared" si="0"/>
        <v>1390</v>
      </c>
      <c r="L18" s="15" t="str">
        <f>VLOOKUP(D:D,[3]Sheet1!$A:$G,7,0)</f>
        <v xml:space="preserve">Three Layer </v>
      </c>
      <c r="M18" s="45"/>
      <c r="N18" s="36"/>
      <c r="O18" s="36"/>
      <c r="P18" s="38"/>
    </row>
    <row r="19" spans="1:16" ht="15.75" x14ac:dyDescent="0.25">
      <c r="A19" s="8">
        <v>14</v>
      </c>
      <c r="B19" s="9" t="s">
        <v>36</v>
      </c>
      <c r="C19" s="9" t="s">
        <v>153</v>
      </c>
      <c r="D19" s="10">
        <v>13430</v>
      </c>
      <c r="E19" s="11" t="str">
        <f>VLOOKUP(D:D,'[1]Production Plan '!$B$7:$C$426,2,0)</f>
        <v>5 Inch Dia Upvc Pipe Class-E 1</v>
      </c>
      <c r="F19" s="12" t="str">
        <f>VLOOKUP(D19,'[2]Production Plan '!$B$7:$G$398,6,0)</f>
        <v>Grey</v>
      </c>
      <c r="G19" s="13">
        <v>0</v>
      </c>
      <c r="H19" s="14">
        <f>VLOOKUP(D:D,'[1]Production Plan '!$B:$F,5,0)</f>
        <v>37.4</v>
      </c>
      <c r="I19" s="39">
        <v>58</v>
      </c>
      <c r="J19" s="41">
        <f t="shared" ref="J19:J29" si="3">I19/(K19)</f>
        <v>1</v>
      </c>
      <c r="K19" s="9">
        <f t="shared" si="0"/>
        <v>58</v>
      </c>
      <c r="L19" s="15" t="e">
        <f>VLOOKUP(D:D,[3]Sheet1!$A:$G,7,0)</f>
        <v>#N/A</v>
      </c>
      <c r="M19" s="45"/>
      <c r="N19" s="35">
        <v>4.5</v>
      </c>
      <c r="O19" s="35">
        <f>12-N19</f>
        <v>7.5</v>
      </c>
      <c r="P19" s="37" t="s">
        <v>154</v>
      </c>
    </row>
    <row r="20" spans="1:16" ht="15.75" x14ac:dyDescent="0.25">
      <c r="A20" s="8">
        <v>15</v>
      </c>
      <c r="B20" s="9" t="s">
        <v>36</v>
      </c>
      <c r="C20" s="9" t="s">
        <v>21</v>
      </c>
      <c r="D20" s="10">
        <v>11347</v>
      </c>
      <c r="E20" s="11" t="str">
        <f>VLOOKUP(D:D,'[1]Production Plan '!$B$7:$C$426,2,0)</f>
        <v>200 mm Dia Upvc Pipe -Spl (2.7)</v>
      </c>
      <c r="F20" s="12" t="str">
        <f>VLOOKUP(D20,'[2]Production Plan '!$B$7:$G$398,6,0)</f>
        <v>Grey</v>
      </c>
      <c r="G20" s="13">
        <v>41</v>
      </c>
      <c r="H20" s="14">
        <f>VLOOKUP(D:D,'[1]Production Plan '!$B:$F,5,0)</f>
        <v>19.2</v>
      </c>
      <c r="I20" s="40"/>
      <c r="J20" s="42"/>
      <c r="K20" s="9">
        <f t="shared" si="0"/>
        <v>787.19999999999993</v>
      </c>
      <c r="L20" s="15" t="str">
        <f>VLOOKUP(D:D,[3]Sheet1!$A:$G,7,0)</f>
        <v>SWR-Grey</v>
      </c>
      <c r="M20" s="45"/>
      <c r="N20" s="36"/>
      <c r="O20" s="36"/>
      <c r="P20" s="38"/>
    </row>
    <row r="21" spans="1:16" ht="15.75" x14ac:dyDescent="0.25">
      <c r="A21" s="8">
        <v>16</v>
      </c>
      <c r="B21" s="9" t="s">
        <v>38</v>
      </c>
      <c r="C21" s="9" t="s">
        <v>21</v>
      </c>
      <c r="D21" s="10">
        <v>12934</v>
      </c>
      <c r="E21" s="11" t="str">
        <f>VLOOKUP(D:D,'[1]Production Plan '!$B$7:$C$426,2,0)</f>
        <v>110 mm Dia Upvc Pipe SWR-3 SPL</v>
      </c>
      <c r="F21" s="12" t="str">
        <f>VLOOKUP(D21,'[2]Production Plan '!$B$7:$G$398,6,0)</f>
        <v>White</v>
      </c>
      <c r="G21" s="13">
        <v>223</v>
      </c>
      <c r="H21" s="14">
        <f>VLOOKUP(D:D,'[1]Production Plan '!$B:$F,5,0)</f>
        <v>12.7</v>
      </c>
      <c r="I21" s="27">
        <v>0</v>
      </c>
      <c r="J21" s="29">
        <f t="shared" si="3"/>
        <v>0</v>
      </c>
      <c r="K21" s="9">
        <f t="shared" si="0"/>
        <v>2832.1</v>
      </c>
      <c r="L21" s="15" t="str">
        <f>VLOOKUP(D:D,[3]Sheet1!$A:$G,7,0)</f>
        <v>SWR-White</v>
      </c>
      <c r="M21" s="45"/>
      <c r="N21" s="25">
        <v>12</v>
      </c>
      <c r="O21" s="25">
        <f>12-N21</f>
        <v>0</v>
      </c>
      <c r="P21" s="30"/>
    </row>
    <row r="22" spans="1:16" ht="15.75" x14ac:dyDescent="0.25">
      <c r="A22" s="8">
        <v>17</v>
      </c>
      <c r="B22" s="9" t="s">
        <v>39</v>
      </c>
      <c r="C22" s="9"/>
      <c r="D22" s="10">
        <v>11304</v>
      </c>
      <c r="E22" s="11" t="str">
        <f>VLOOKUP(D:D,'[1]Production Plan '!$B$7:$C$426,2,0)</f>
        <v>80mm Dia Upvc Pipe SWR-0</v>
      </c>
      <c r="F22" s="12" t="str">
        <f>VLOOKUP(D22,'[2]Production Plan '!$B$7:$G$398,6,0)</f>
        <v>White</v>
      </c>
      <c r="G22" s="13">
        <v>118</v>
      </c>
      <c r="H22" s="14">
        <f>VLOOKUP(D:D,'[1]Production Plan '!$B:$F,5,0)</f>
        <v>5.8</v>
      </c>
      <c r="I22" s="39">
        <v>119</v>
      </c>
      <c r="J22" s="41">
        <f t="shared" si="3"/>
        <v>0.14812048792631316</v>
      </c>
      <c r="K22" s="9">
        <f t="shared" si="0"/>
        <v>803.4</v>
      </c>
      <c r="L22" s="15" t="str">
        <f>VLOOKUP(D:D,[3]Sheet1!$A:$G,7,0)</f>
        <v>SWR-White</v>
      </c>
      <c r="M22" s="45"/>
      <c r="N22" s="35">
        <v>12</v>
      </c>
      <c r="O22" s="35">
        <f t="shared" ref="O22:O29" si="4">12-N22</f>
        <v>0</v>
      </c>
      <c r="P22" s="37"/>
    </row>
    <row r="23" spans="1:16" ht="15.75" x14ac:dyDescent="0.25">
      <c r="A23" s="8">
        <v>18</v>
      </c>
      <c r="B23" s="9" t="s">
        <v>39</v>
      </c>
      <c r="C23" s="9" t="s">
        <v>21</v>
      </c>
      <c r="D23" s="10">
        <v>12537</v>
      </c>
      <c r="E23" s="11" t="str">
        <f>VLOOKUP(D:D,'[1]Production Plan '!$B$7:$C$426,2,0)</f>
        <v>80mm Dia Upvc Pipe SWR-Special (White)</v>
      </c>
      <c r="F23" s="12" t="str">
        <f>VLOOKUP(D23,'[2]Production Plan '!$B$7:$G$398,6,0)</f>
        <v>White</v>
      </c>
      <c r="G23" s="13">
        <v>214</v>
      </c>
      <c r="H23" s="14">
        <f>VLOOKUP(D:D,'[1]Production Plan '!$B:$F,5,0)</f>
        <v>5.4</v>
      </c>
      <c r="I23" s="40"/>
      <c r="J23" s="42"/>
      <c r="K23" s="9">
        <f t="shared" si="0"/>
        <v>1155.6000000000001</v>
      </c>
      <c r="L23" s="15" t="str">
        <f>VLOOKUP(D:D,[3]Sheet1!$A:$G,7,0)</f>
        <v>SWR-White</v>
      </c>
      <c r="M23" s="45"/>
      <c r="N23" s="36"/>
      <c r="O23" s="36"/>
      <c r="P23" s="38"/>
    </row>
    <row r="24" spans="1:16" ht="31.5" x14ac:dyDescent="0.25">
      <c r="A24" s="8">
        <v>19</v>
      </c>
      <c r="B24" s="9" t="s">
        <v>40</v>
      </c>
      <c r="C24" s="9"/>
      <c r="D24" s="10">
        <v>13397</v>
      </c>
      <c r="E24" s="11" t="str">
        <f>VLOOKUP(D:D,'[1]Production Plan '!$B$7:$C$426,2,0)</f>
        <v>1.5 Inch Dia Upvc Pipe Class D-SP (Br)</v>
      </c>
      <c r="F24" s="12" t="str">
        <f>VLOOKUP(D24,'[2]Production Plan '!$B$7:$G$398,6,0)</f>
        <v>Grey</v>
      </c>
      <c r="G24" s="13">
        <v>0</v>
      </c>
      <c r="H24" s="14">
        <f>VLOOKUP(D:D,'[1]Production Plan '!$B:$F,5,0)</f>
        <v>2.85</v>
      </c>
      <c r="I24" s="13">
        <v>0</v>
      </c>
      <c r="J24" s="29" t="e">
        <f t="shared" si="3"/>
        <v>#DIV/0!</v>
      </c>
      <c r="K24" s="9">
        <f t="shared" si="0"/>
        <v>0</v>
      </c>
      <c r="L24" s="15" t="str">
        <f>VLOOKUP(D:D,[3]Sheet1!$A:$G,7,0)</f>
        <v>STD-Grey</v>
      </c>
      <c r="M24" s="45"/>
      <c r="N24" s="17">
        <v>0</v>
      </c>
      <c r="O24" s="25">
        <f t="shared" si="4"/>
        <v>12</v>
      </c>
      <c r="P24" s="18" t="s">
        <v>52</v>
      </c>
    </row>
    <row r="25" spans="1:16" ht="15.75" x14ac:dyDescent="0.25">
      <c r="A25" s="8">
        <v>20</v>
      </c>
      <c r="B25" s="9" t="s">
        <v>41</v>
      </c>
      <c r="C25" s="9" t="s">
        <v>110</v>
      </c>
      <c r="D25" s="10">
        <v>11503</v>
      </c>
      <c r="E25" s="11" t="str">
        <f>VLOOKUP(D:D,'[1]Production Plan '!$B$7:$C$426,2,0)</f>
        <v>1 Inch Dia UPVC Thread Pipe</v>
      </c>
      <c r="F25" s="12" t="str">
        <f>VLOOKUP(D25,'[2]Production Plan '!$B$7:$G$398,6,0)</f>
        <v>Green</v>
      </c>
      <c r="G25" s="13">
        <v>1340</v>
      </c>
      <c r="H25" s="14">
        <f>VLOOKUP(D:D,'[1]Production Plan '!$B:$F,5,0)</f>
        <v>1.65</v>
      </c>
      <c r="I25" s="13">
        <v>30</v>
      </c>
      <c r="J25" s="62">
        <f t="shared" si="3"/>
        <v>1.3386880856760375E-2</v>
      </c>
      <c r="K25" s="9">
        <f t="shared" si="0"/>
        <v>2241</v>
      </c>
      <c r="L25" s="15" t="str">
        <f>VLOOKUP(D:D,[3]Sheet1!$A:$G,7,0)</f>
        <v>Thread-Green</v>
      </c>
      <c r="M25" s="45"/>
      <c r="N25" s="17">
        <v>12</v>
      </c>
      <c r="O25" s="25">
        <f t="shared" si="4"/>
        <v>0</v>
      </c>
      <c r="P25" s="18"/>
    </row>
    <row r="26" spans="1:16" ht="15.75" x14ac:dyDescent="0.25">
      <c r="A26" s="8">
        <v>21</v>
      </c>
      <c r="B26" s="9" t="s">
        <v>42</v>
      </c>
      <c r="C26" s="9" t="s">
        <v>155</v>
      </c>
      <c r="D26" s="10">
        <v>12571</v>
      </c>
      <c r="E26" s="11" t="str">
        <f>VLOOKUP(D:D,'[1]Production Plan '!$B$7:$C$426,2,0)</f>
        <v>1.25 Inc HDPE Coil Pipe-Green</v>
      </c>
      <c r="F26" s="12" t="str">
        <f>VLOOKUP(D26,'[2]Production Plan '!$B$7:$G$398,6,0)</f>
        <v>Green</v>
      </c>
      <c r="G26" s="13">
        <v>0</v>
      </c>
      <c r="H26" s="14">
        <f>VLOOKUP(D:D,'[1]Production Plan '!$B:$F,5,0)</f>
        <v>46</v>
      </c>
      <c r="I26" s="39">
        <v>20</v>
      </c>
      <c r="J26" s="41">
        <f t="shared" si="3"/>
        <v>1</v>
      </c>
      <c r="K26" s="9">
        <f t="shared" si="0"/>
        <v>20</v>
      </c>
      <c r="L26" s="15" t="str">
        <f>VLOOKUP(D:D,[3]Sheet1!$A:$G,7,0)</f>
        <v>HDPE D/L Green</v>
      </c>
      <c r="M26" s="45"/>
      <c r="N26" s="35">
        <v>10</v>
      </c>
      <c r="O26" s="35">
        <f t="shared" si="4"/>
        <v>2</v>
      </c>
      <c r="P26" s="37" t="s">
        <v>100</v>
      </c>
    </row>
    <row r="27" spans="1:16" ht="15.75" x14ac:dyDescent="0.25">
      <c r="A27" s="8">
        <v>22</v>
      </c>
      <c r="B27" s="9" t="s">
        <v>42</v>
      </c>
      <c r="C27" s="9" t="s">
        <v>21</v>
      </c>
      <c r="D27" s="10">
        <v>12572</v>
      </c>
      <c r="E27" s="11" t="str">
        <f>VLOOKUP(D:D,'[1]Production Plan '!$B$7:$C$426,2,0)</f>
        <v>1.5 Inc HDPE Coil Pipe-Green</v>
      </c>
      <c r="F27" s="12" t="str">
        <f>VLOOKUP(D27,'[2]Production Plan '!$B$7:$G$398,6,0)</f>
        <v>Green</v>
      </c>
      <c r="G27" s="13">
        <v>17</v>
      </c>
      <c r="H27" s="14">
        <f>VLOOKUP(D:D,'[1]Production Plan '!$B:$F,5,0)</f>
        <v>36.5</v>
      </c>
      <c r="I27" s="40"/>
      <c r="J27" s="42"/>
      <c r="K27" s="9">
        <f t="shared" si="0"/>
        <v>620.5</v>
      </c>
      <c r="L27" s="15"/>
      <c r="M27" s="45"/>
      <c r="N27" s="36"/>
      <c r="O27" s="36"/>
      <c r="P27" s="38"/>
    </row>
    <row r="28" spans="1:16" ht="47.25" x14ac:dyDescent="0.25">
      <c r="A28" s="8">
        <v>23</v>
      </c>
      <c r="B28" s="9" t="s">
        <v>43</v>
      </c>
      <c r="C28" s="9" t="s">
        <v>77</v>
      </c>
      <c r="D28" s="10">
        <v>11317</v>
      </c>
      <c r="E28" s="11" t="str">
        <f>VLOOKUP(D:D,'[1]Production Plan '!$B$7:$C$426,2,0)</f>
        <v>110mm Dia Upvc Pipe SWR-1 Special (White)</v>
      </c>
      <c r="F28" s="12" t="str">
        <f>VLOOKUP(D28,'[2]Production Plan '!$B$7:$G$398,6,0)</f>
        <v>White</v>
      </c>
      <c r="G28" s="13">
        <v>485</v>
      </c>
      <c r="H28" s="14">
        <f>VLOOKUP(D:D,'[1]Production Plan '!$B:$F,5,0)</f>
        <v>10</v>
      </c>
      <c r="I28" s="13">
        <v>480</v>
      </c>
      <c r="J28" s="16">
        <f t="shared" si="3"/>
        <v>9.0056285178236398E-2</v>
      </c>
      <c r="K28" s="9">
        <f t="shared" si="0"/>
        <v>5330</v>
      </c>
      <c r="L28" s="15" t="str">
        <f>VLOOKUP(D:D,[3]Sheet1!$A:$G,7,0)</f>
        <v>SWR-White</v>
      </c>
      <c r="M28" s="45"/>
      <c r="N28" s="17">
        <v>11</v>
      </c>
      <c r="O28" s="25">
        <f t="shared" si="4"/>
        <v>1</v>
      </c>
      <c r="P28" s="18" t="s">
        <v>156</v>
      </c>
    </row>
    <row r="29" spans="1:16" ht="15.75" x14ac:dyDescent="0.25">
      <c r="A29" s="8">
        <v>24</v>
      </c>
      <c r="B29" s="9" t="s">
        <v>44</v>
      </c>
      <c r="C29" s="9" t="s">
        <v>155</v>
      </c>
      <c r="D29" s="10">
        <v>13390</v>
      </c>
      <c r="E29" s="11" t="str">
        <f>VLOOKUP(D:D,'[1]Production Plan '!$B$7:$C$426,2,0)</f>
        <v>CPVC Pipe 1.5''(40mm)X3M-SDR-13.5</v>
      </c>
      <c r="F29" s="12" t="str">
        <f>VLOOKUP(D29,'[2]Production Plan '!$B$7:$G$398,6,0)</f>
        <v>Off White</v>
      </c>
      <c r="G29" s="13">
        <v>510</v>
      </c>
      <c r="H29" s="14">
        <f>VLOOKUP(D:D,'[1]Production Plan '!$B:$F,5,0)</f>
        <v>1.8</v>
      </c>
      <c r="I29" s="27">
        <v>0</v>
      </c>
      <c r="J29" s="16">
        <f t="shared" si="3"/>
        <v>0</v>
      </c>
      <c r="K29" s="9">
        <f t="shared" si="0"/>
        <v>918</v>
      </c>
      <c r="L29" s="15" t="str">
        <f>VLOOKUP(D:D,[3]Sheet1!$A:$G,7,0)</f>
        <v>Com..</v>
      </c>
      <c r="M29" s="45"/>
      <c r="N29" s="25">
        <v>12</v>
      </c>
      <c r="O29" s="25">
        <f t="shared" si="4"/>
        <v>0</v>
      </c>
      <c r="P29" s="30"/>
    </row>
    <row r="30" spans="1:16" ht="15.75" x14ac:dyDescent="0.25">
      <c r="A30" s="8"/>
      <c r="B30" s="9"/>
      <c r="C30" s="9"/>
      <c r="D30" s="9"/>
      <c r="E30" s="11"/>
      <c r="F30" s="12"/>
      <c r="G30" s="7"/>
      <c r="H30" s="14"/>
      <c r="I30" s="21">
        <f>SUM(I6:I29)</f>
        <v>1617</v>
      </c>
      <c r="J30" s="21"/>
      <c r="K30" s="21">
        <f>SUM(K6:K29)</f>
        <v>31176.092000000001</v>
      </c>
      <c r="L30" s="15"/>
      <c r="M30" s="45"/>
      <c r="N30" s="17"/>
      <c r="O30" s="17"/>
      <c r="P30" s="9"/>
    </row>
  </sheetData>
  <mergeCells count="29">
    <mergeCell ref="N26:N27"/>
    <mergeCell ref="O26:O27"/>
    <mergeCell ref="P26:P27"/>
    <mergeCell ref="N19:N20"/>
    <mergeCell ref="O19:O20"/>
    <mergeCell ref="P19:P20"/>
    <mergeCell ref="I22:I23"/>
    <mergeCell ref="J22:J23"/>
    <mergeCell ref="N22:N23"/>
    <mergeCell ref="O22:O23"/>
    <mergeCell ref="P22:P23"/>
    <mergeCell ref="N7:N8"/>
    <mergeCell ref="O7:O8"/>
    <mergeCell ref="P7:P8"/>
    <mergeCell ref="I17:I18"/>
    <mergeCell ref="J17:J18"/>
    <mergeCell ref="N17:N18"/>
    <mergeCell ref="O17:O18"/>
    <mergeCell ref="P17:P18"/>
    <mergeCell ref="F1:J1"/>
    <mergeCell ref="F2:J2"/>
    <mergeCell ref="F3:L3"/>
    <mergeCell ref="M6:M30"/>
    <mergeCell ref="I7:I8"/>
    <mergeCell ref="J7:J8"/>
    <mergeCell ref="I19:I20"/>
    <mergeCell ref="J19:J20"/>
    <mergeCell ref="I26:I27"/>
    <mergeCell ref="J26:J27"/>
  </mergeCells>
  <conditionalFormatting sqref="E30 E6:E28">
    <cfRule type="duplicateValues" dxfId="9" priority="2"/>
  </conditionalFormatting>
  <conditionalFormatting sqref="E29">
    <cfRule type="duplicateValues" dxfId="8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P28"/>
  <sheetViews>
    <sheetView topLeftCell="A19" workbookViewId="0">
      <selection activeCell="I24" sqref="I24:I25"/>
    </sheetView>
  </sheetViews>
  <sheetFormatPr defaultRowHeight="15" x14ac:dyDescent="0.25"/>
  <cols>
    <col min="11" max="11" width="9.5703125" bestFit="1" customWidth="1"/>
  </cols>
  <sheetData>
    <row r="1" spans="1:16" ht="15.75" x14ac:dyDescent="0.25">
      <c r="A1" s="32"/>
      <c r="B1" s="32"/>
      <c r="C1" s="32"/>
      <c r="D1" s="32"/>
      <c r="E1" s="32"/>
      <c r="F1" s="43" t="s">
        <v>0</v>
      </c>
      <c r="G1" s="43"/>
      <c r="H1" s="43"/>
      <c r="I1" s="43"/>
      <c r="J1" s="43"/>
      <c r="K1" s="32"/>
      <c r="L1" s="32"/>
      <c r="M1" s="32"/>
      <c r="N1" s="32"/>
      <c r="O1" s="32"/>
      <c r="P1" s="32"/>
    </row>
    <row r="2" spans="1:16" ht="15.75" x14ac:dyDescent="0.25">
      <c r="A2" s="32"/>
      <c r="B2" s="1"/>
      <c r="C2" s="2"/>
      <c r="D2" s="32"/>
      <c r="E2" s="32"/>
      <c r="F2" s="43" t="s">
        <v>1</v>
      </c>
      <c r="G2" s="43"/>
      <c r="H2" s="43"/>
      <c r="I2" s="43"/>
      <c r="J2" s="43"/>
      <c r="K2" s="32"/>
      <c r="L2" s="32"/>
      <c r="M2" s="32"/>
      <c r="N2" s="3"/>
      <c r="O2" s="32"/>
      <c r="P2" s="32"/>
    </row>
    <row r="3" spans="1:16" ht="15.75" x14ac:dyDescent="0.25">
      <c r="A3" s="32"/>
      <c r="B3" s="32"/>
      <c r="C3" s="32"/>
      <c r="D3" s="32"/>
      <c r="E3" s="32"/>
      <c r="F3" s="44" t="s">
        <v>2</v>
      </c>
      <c r="G3" s="44"/>
      <c r="H3" s="44"/>
      <c r="I3" s="44"/>
      <c r="J3" s="44"/>
      <c r="K3" s="44"/>
      <c r="L3" s="44"/>
      <c r="M3" s="32"/>
      <c r="N3" s="32"/>
      <c r="O3" s="32"/>
      <c r="P3" s="32"/>
    </row>
    <row r="4" spans="1:16" ht="15.75" x14ac:dyDescent="0.25">
      <c r="A4" s="32"/>
      <c r="B4" s="32"/>
      <c r="C4" s="32"/>
      <c r="D4" s="32"/>
      <c r="E4" s="4" t="s">
        <v>157</v>
      </c>
      <c r="F4" s="32"/>
      <c r="G4" s="32"/>
      <c r="H4" s="32"/>
      <c r="I4" s="32"/>
      <c r="J4" s="32"/>
      <c r="K4" s="32"/>
      <c r="L4" s="5"/>
      <c r="M4" s="32"/>
      <c r="N4" s="32"/>
      <c r="O4" s="32"/>
      <c r="P4" s="6"/>
    </row>
    <row r="5" spans="1:16" ht="78.75" x14ac:dyDescent="0.25">
      <c r="A5" s="7" t="s">
        <v>3</v>
      </c>
      <c r="B5" s="7" t="s">
        <v>4</v>
      </c>
      <c r="C5" s="7" t="s">
        <v>5</v>
      </c>
      <c r="D5" s="7" t="s">
        <v>6</v>
      </c>
      <c r="E5" s="7" t="s">
        <v>7</v>
      </c>
      <c r="F5" s="7" t="s">
        <v>8</v>
      </c>
      <c r="G5" s="7" t="s">
        <v>9</v>
      </c>
      <c r="H5" s="7" t="s">
        <v>10</v>
      </c>
      <c r="I5" s="7" t="s">
        <v>11</v>
      </c>
      <c r="J5" s="7" t="s">
        <v>12</v>
      </c>
      <c r="K5" s="7" t="s">
        <v>13</v>
      </c>
      <c r="L5" s="7" t="s">
        <v>14</v>
      </c>
      <c r="M5" s="7" t="s">
        <v>15</v>
      </c>
      <c r="N5" s="7" t="s">
        <v>16</v>
      </c>
      <c r="O5" s="7" t="s">
        <v>17</v>
      </c>
      <c r="P5" s="7" t="s">
        <v>18</v>
      </c>
    </row>
    <row r="6" spans="1:16" ht="31.5" x14ac:dyDescent="0.25">
      <c r="A6" s="8">
        <v>1</v>
      </c>
      <c r="B6" s="9" t="s">
        <v>19</v>
      </c>
      <c r="C6" s="9"/>
      <c r="D6" s="10">
        <v>11141</v>
      </c>
      <c r="E6" s="11" t="str">
        <f>VLOOKUP(D:D,'[1]Production Plan '!$B$7:$C$426,2,0)</f>
        <v>4 Inch Upvc Pipe Star (Gray 20 Ft )</v>
      </c>
      <c r="F6" s="12" t="str">
        <f>VLOOKUP(D6,'[2]Production Plan '!$B$7:$G$398,6,0)</f>
        <v>Grey</v>
      </c>
      <c r="G6" s="13">
        <v>0</v>
      </c>
      <c r="H6" s="14">
        <f>VLOOKUP(D:D,'[1]Production Plan '!$B:$F,5,0)</f>
        <v>12.5</v>
      </c>
      <c r="I6" s="13"/>
      <c r="J6" s="16" t="e">
        <f>I6/(K6)</f>
        <v>#DIV/0!</v>
      </c>
      <c r="K6" s="9">
        <f>G6*H6+I6</f>
        <v>0</v>
      </c>
      <c r="L6" s="15" t="str">
        <f>VLOOKUP(D:D,[3]Sheet1!$A:$G,7,0)</f>
        <v>SWR-Grey</v>
      </c>
      <c r="M6" s="45">
        <f>I28/K28</f>
        <v>5.8069670678346223E-2</v>
      </c>
      <c r="N6" s="17">
        <v>0</v>
      </c>
      <c r="O6" s="17">
        <f>12-N6</f>
        <v>12</v>
      </c>
      <c r="P6" s="18" t="s">
        <v>52</v>
      </c>
    </row>
    <row r="7" spans="1:16" ht="31.5" x14ac:dyDescent="0.25">
      <c r="A7" s="8">
        <v>2</v>
      </c>
      <c r="B7" s="9" t="s">
        <v>22</v>
      </c>
      <c r="C7" s="9" t="s">
        <v>23</v>
      </c>
      <c r="D7" s="10">
        <v>11195</v>
      </c>
      <c r="E7" s="11" t="str">
        <f>VLOOKUP(D:D,'[1]Production Plan '!$B$7:$C$426,2,0)</f>
        <v>16Inch Dia Upvc Pipe Class-B</v>
      </c>
      <c r="F7" s="12" t="str">
        <f>VLOOKUP(D7,'[2]Production Plan '!$B$7:$G$398,6,0)</f>
        <v>Grey</v>
      </c>
      <c r="G7" s="13">
        <v>42</v>
      </c>
      <c r="H7" s="14">
        <f>VLOOKUP(D:D,'[1]Production Plan '!$B:$F,5,0)</f>
        <v>132</v>
      </c>
      <c r="I7" s="19">
        <v>650</v>
      </c>
      <c r="J7" s="16">
        <f t="shared" ref="J7:J27" si="0">I7/(K7)</f>
        <v>0.10494026477236035</v>
      </c>
      <c r="K7" s="9">
        <f t="shared" ref="K7:K27" si="1">G7*H7+I7</f>
        <v>6194</v>
      </c>
      <c r="L7" s="15" t="str">
        <f>VLOOKUP(D:D,[3]Sheet1!$A:$G,7,0)</f>
        <v>SBS-Grey</v>
      </c>
      <c r="M7" s="45"/>
      <c r="N7" s="17">
        <v>12</v>
      </c>
      <c r="O7" s="17">
        <f t="shared" ref="O7:O27" si="2">12-N7</f>
        <v>0</v>
      </c>
      <c r="P7" s="18" t="s">
        <v>158</v>
      </c>
    </row>
    <row r="8" spans="1:16" ht="63" x14ac:dyDescent="0.25">
      <c r="A8" s="8">
        <v>3</v>
      </c>
      <c r="B8" s="9" t="s">
        <v>24</v>
      </c>
      <c r="C8" s="19"/>
      <c r="D8" s="10">
        <v>11105</v>
      </c>
      <c r="E8" s="11" t="str">
        <f>VLOOKUP(D:D,'[1]Production Plan '!$B$7:$C$426,2,0)</f>
        <v>1 Inch Dia Upvc Pipe Class-D</v>
      </c>
      <c r="F8" s="12" t="str">
        <f>VLOOKUP(D8,'[2]Production Plan '!$B$7:$G$398,6,0)</f>
        <v>Grey</v>
      </c>
      <c r="G8" s="13">
        <v>0</v>
      </c>
      <c r="H8" s="14">
        <f>VLOOKUP(D:D,'[1]Production Plan '!$B:$F,5,0)</f>
        <v>0.85</v>
      </c>
      <c r="I8" s="13"/>
      <c r="J8" s="16" t="e">
        <f t="shared" si="0"/>
        <v>#DIV/0!</v>
      </c>
      <c r="K8" s="9">
        <f t="shared" si="1"/>
        <v>0</v>
      </c>
      <c r="L8" s="15" t="str">
        <f>VLOOKUP(D:D,[3]Sheet1!$A:$G,7,0)</f>
        <v>STD-Grey</v>
      </c>
      <c r="M8" s="45"/>
      <c r="N8" s="17">
        <v>0</v>
      </c>
      <c r="O8" s="17">
        <f t="shared" si="2"/>
        <v>12</v>
      </c>
      <c r="P8" s="18" t="s">
        <v>159</v>
      </c>
    </row>
    <row r="9" spans="1:16" ht="15.75" x14ac:dyDescent="0.25">
      <c r="A9" s="8">
        <v>4</v>
      </c>
      <c r="B9" s="9" t="s">
        <v>25</v>
      </c>
      <c r="C9" s="19" t="s">
        <v>49</v>
      </c>
      <c r="D9" s="10">
        <v>11506</v>
      </c>
      <c r="E9" s="11" t="str">
        <f>VLOOKUP(D:D,'[1]Production Plan '!$B$7:$C$426,2,0)</f>
        <v>2 Inch Dia UPVC Thread Pipe</v>
      </c>
      <c r="F9" s="12" t="str">
        <f>VLOOKUP(D9,'[2]Production Plan '!$B$7:$G$398,6,0)</f>
        <v>Green</v>
      </c>
      <c r="G9" s="13">
        <v>430</v>
      </c>
      <c r="H9" s="14">
        <f>VLOOKUP(D:D,'[1]Production Plan '!$B:$F,5,0)</f>
        <v>3.9</v>
      </c>
      <c r="I9" s="13">
        <v>24</v>
      </c>
      <c r="J9" s="16">
        <f t="shared" si="0"/>
        <v>1.4109347442680775E-2</v>
      </c>
      <c r="K9" s="9">
        <f t="shared" si="1"/>
        <v>1701</v>
      </c>
      <c r="L9" s="15" t="str">
        <f>VLOOKUP(D:D,[3]Sheet1!$A:$G,7,0)</f>
        <v>Thread-Green</v>
      </c>
      <c r="M9" s="45"/>
      <c r="N9" s="17">
        <v>12</v>
      </c>
      <c r="O9" s="17">
        <f t="shared" si="2"/>
        <v>0</v>
      </c>
      <c r="P9" s="18"/>
    </row>
    <row r="10" spans="1:16" ht="31.5" x14ac:dyDescent="0.25">
      <c r="A10" s="8">
        <v>5</v>
      </c>
      <c r="B10" s="22" t="s">
        <v>26</v>
      </c>
      <c r="C10" s="9" t="s">
        <v>20</v>
      </c>
      <c r="D10" s="10">
        <v>13359</v>
      </c>
      <c r="E10" s="11" t="str">
        <f>VLOOKUP(D:D,'[1]Production Plan '!$B$7:$C$426,2,0)</f>
        <v>uPVC Pipe 1.5 Inch x 15 Ft Class-Economy (S)</v>
      </c>
      <c r="F10" s="12" t="str">
        <f>VLOOKUP(D10,'[2]Production Plan '!$B$7:$G$398,6,0)</f>
        <v>White</v>
      </c>
      <c r="G10" s="13">
        <v>490</v>
      </c>
      <c r="H10" s="14">
        <f>VLOOKUP(D:D,'[1]Production Plan '!$B:$F,5,0)</f>
        <v>1.72</v>
      </c>
      <c r="I10" s="13">
        <v>146</v>
      </c>
      <c r="J10" s="16">
        <f t="shared" si="0"/>
        <v>0.1476537216828479</v>
      </c>
      <c r="K10" s="9">
        <f t="shared" si="1"/>
        <v>988.8</v>
      </c>
      <c r="L10" s="15" t="str">
        <f>VLOOKUP(D:D,[3]Sheet1!$A:$G,7,0)</f>
        <v>Special-White</v>
      </c>
      <c r="M10" s="45"/>
      <c r="N10" s="17">
        <v>10</v>
      </c>
      <c r="O10" s="17">
        <f t="shared" si="2"/>
        <v>2</v>
      </c>
      <c r="P10" s="18" t="s">
        <v>48</v>
      </c>
    </row>
    <row r="11" spans="1:16" ht="15.75" x14ac:dyDescent="0.25">
      <c r="A11" s="8">
        <v>6</v>
      </c>
      <c r="B11" s="22" t="s">
        <v>28</v>
      </c>
      <c r="C11" s="20" t="s">
        <v>21</v>
      </c>
      <c r="D11" s="10">
        <v>11303</v>
      </c>
      <c r="E11" s="11" t="str">
        <f>VLOOKUP(D:D,'[1]Production Plan '!$B$7:$C$426,2,0)</f>
        <v>50mm Dia UPVC Pipe Class-ISO</v>
      </c>
      <c r="F11" s="12" t="str">
        <f>VLOOKUP(D11,'[2]Production Plan '!$B$7:$G$398,6,0)</f>
        <v>White</v>
      </c>
      <c r="G11" s="61">
        <v>600</v>
      </c>
      <c r="H11" s="14">
        <f>VLOOKUP(D:D,'[1]Production Plan '!$B:$F,5,0)</f>
        <v>2.2000000000000002</v>
      </c>
      <c r="I11" s="13">
        <v>87</v>
      </c>
      <c r="J11" s="16">
        <f t="shared" si="0"/>
        <v>6.1833688699360338E-2</v>
      </c>
      <c r="K11" s="9">
        <f t="shared" si="1"/>
        <v>1407</v>
      </c>
      <c r="L11" s="15" t="str">
        <f>VLOOKUP(D:D,[3]Sheet1!$A:$G,7,0)</f>
        <v>SWR-White</v>
      </c>
      <c r="M11" s="45"/>
      <c r="N11" s="17">
        <v>12</v>
      </c>
      <c r="O11" s="17">
        <f t="shared" si="2"/>
        <v>0</v>
      </c>
      <c r="P11" s="18"/>
    </row>
    <row r="12" spans="1:16" ht="15.75" x14ac:dyDescent="0.25">
      <c r="A12" s="8">
        <v>7</v>
      </c>
      <c r="B12" s="9" t="s">
        <v>30</v>
      </c>
      <c r="C12" s="9" t="s">
        <v>50</v>
      </c>
      <c r="D12" s="10">
        <v>11309</v>
      </c>
      <c r="E12" s="11" t="str">
        <f>VLOOKUP(D:D,'[1]Production Plan '!$B$7:$C$426,2,0)</f>
        <v>110mm Dia UPVC Pipe ISO-2</v>
      </c>
      <c r="F12" s="12" t="str">
        <f>VLOOKUP(D12,'[2]Production Plan '!$B$7:$G$398,6,0)</f>
        <v>White</v>
      </c>
      <c r="G12" s="13">
        <v>197</v>
      </c>
      <c r="H12" s="14">
        <f>VLOOKUP(D:D,'[1]Production Plan '!$B:$F,5,0)</f>
        <v>11</v>
      </c>
      <c r="I12" s="13">
        <v>61</v>
      </c>
      <c r="J12" s="16">
        <f t="shared" si="0"/>
        <v>2.7378815080789945E-2</v>
      </c>
      <c r="K12" s="9">
        <f t="shared" si="1"/>
        <v>2228</v>
      </c>
      <c r="L12" s="15" t="str">
        <f>VLOOKUP(D:D,[3]Sheet1!$A:$G,7,0)</f>
        <v>SWR-White</v>
      </c>
      <c r="M12" s="45"/>
      <c r="N12" s="17">
        <v>12</v>
      </c>
      <c r="O12" s="17">
        <f t="shared" si="2"/>
        <v>0</v>
      </c>
      <c r="P12" s="18"/>
    </row>
    <row r="13" spans="1:16" ht="63" x14ac:dyDescent="0.25">
      <c r="A13" s="8">
        <v>8</v>
      </c>
      <c r="B13" s="9" t="s">
        <v>32</v>
      </c>
      <c r="C13" s="9"/>
      <c r="D13" s="10">
        <v>11335</v>
      </c>
      <c r="E13" s="11" t="str">
        <f>VLOOKUP(D:D,'[1]Production Plan '!$B$7:$C$426,2,0)</f>
        <v>160mm Dia Upvc PN-8 Pipe</v>
      </c>
      <c r="F13" s="12" t="str">
        <f>VLOOKUP(D13,'[2]Production Plan '!$B$7:$G$398,6,0)</f>
        <v>White</v>
      </c>
      <c r="G13" s="13">
        <v>0</v>
      </c>
      <c r="H13" s="14">
        <f>VLOOKUP(D:D,'[1]Production Plan '!$B:$F,5,0)</f>
        <v>26.6</v>
      </c>
      <c r="I13" s="13"/>
      <c r="J13" s="16" t="e">
        <f t="shared" si="0"/>
        <v>#DIV/0!</v>
      </c>
      <c r="K13" s="9">
        <f t="shared" si="1"/>
        <v>0</v>
      </c>
      <c r="L13" s="15" t="str">
        <f>VLOOKUP(D:D,[3]Sheet1!$A:$G,7,0)</f>
        <v>STD-White</v>
      </c>
      <c r="M13" s="45"/>
      <c r="N13" s="17">
        <v>0</v>
      </c>
      <c r="O13" s="17">
        <f t="shared" si="2"/>
        <v>12</v>
      </c>
      <c r="P13" s="18" t="s">
        <v>159</v>
      </c>
    </row>
    <row r="14" spans="1:16" ht="31.5" x14ac:dyDescent="0.25">
      <c r="A14" s="8">
        <v>9</v>
      </c>
      <c r="B14" s="9" t="s">
        <v>33</v>
      </c>
      <c r="C14" s="20"/>
      <c r="D14" s="10">
        <v>11325</v>
      </c>
      <c r="E14" s="11" t="str">
        <f>VLOOKUP(D:D,'[1]Production Plan '!$B$7:$C$426,2,0)</f>
        <v>110 mm Dia UPVC Pipe SWR-3</v>
      </c>
      <c r="F14" s="12" t="str">
        <f>VLOOKUP(D14,'[2]Production Plan '!$B$7:$G$398,6,0)</f>
        <v>White</v>
      </c>
      <c r="G14" s="13">
        <v>0</v>
      </c>
      <c r="H14" s="14">
        <f>VLOOKUP(D:D,'[1]Production Plan '!$B:$F,5,0)</f>
        <v>12.9</v>
      </c>
      <c r="I14" s="13"/>
      <c r="J14" s="16" t="e">
        <f t="shared" si="0"/>
        <v>#DIV/0!</v>
      </c>
      <c r="K14" s="9">
        <f t="shared" si="1"/>
        <v>0</v>
      </c>
      <c r="L14" s="15" t="str">
        <f>VLOOKUP(D:D,[3]Sheet1!$A:$G,7,0)</f>
        <v>SWR-White</v>
      </c>
      <c r="M14" s="45"/>
      <c r="N14" s="17">
        <v>0</v>
      </c>
      <c r="O14" s="17">
        <f t="shared" si="2"/>
        <v>12</v>
      </c>
      <c r="P14" s="18" t="s">
        <v>52</v>
      </c>
    </row>
    <row r="15" spans="1:16" ht="15.75" x14ac:dyDescent="0.25">
      <c r="A15" s="8">
        <v>10</v>
      </c>
      <c r="B15" s="9" t="s">
        <v>34</v>
      </c>
      <c r="C15" s="20" t="s">
        <v>160</v>
      </c>
      <c r="D15" s="10">
        <v>11502</v>
      </c>
      <c r="E15" s="11" t="str">
        <f>VLOOKUP(D:D,'[1]Production Plan '!$B$7:$C$426,2,0)</f>
        <v>0.75 Inch Dia UPVC Thread Pipe</v>
      </c>
      <c r="F15" s="12" t="str">
        <f>VLOOKUP(D15,'[2]Production Plan '!$B$7:$G$398,6,0)</f>
        <v>Green</v>
      </c>
      <c r="G15" s="13">
        <v>980</v>
      </c>
      <c r="H15" s="14">
        <f>VLOOKUP(D:D,'[1]Production Plan '!$B:$F,5,0)</f>
        <v>1.24</v>
      </c>
      <c r="I15" s="13"/>
      <c r="J15" s="16">
        <f t="shared" si="0"/>
        <v>0</v>
      </c>
      <c r="K15" s="9">
        <f t="shared" si="1"/>
        <v>1215.2</v>
      </c>
      <c r="L15" s="15" t="str">
        <f>VLOOKUP(D:D,[3]Sheet1!$A:$G,7,0)</f>
        <v>Thread-Green</v>
      </c>
      <c r="M15" s="45"/>
      <c r="N15" s="17">
        <v>12</v>
      </c>
      <c r="O15" s="17">
        <f t="shared" si="2"/>
        <v>0</v>
      </c>
      <c r="P15" s="18"/>
    </row>
    <row r="16" spans="1:16" ht="15.75" x14ac:dyDescent="0.25">
      <c r="A16" s="8">
        <v>11</v>
      </c>
      <c r="B16" s="9" t="s">
        <v>35</v>
      </c>
      <c r="C16" s="9" t="s">
        <v>133</v>
      </c>
      <c r="D16" s="10">
        <v>11391</v>
      </c>
      <c r="E16" s="11" t="str">
        <f>VLOOKUP(D:D,'[1]Production Plan '!$B$7:$C$426,2,0)</f>
        <v>4 Inch Dia UPVC Pipe Class-D SPL</v>
      </c>
      <c r="F16" s="12" t="str">
        <f>VLOOKUP(D16,'[2]Production Plan '!$B$7:$G$398,6,0)</f>
        <v>Grey</v>
      </c>
      <c r="G16" s="13">
        <v>167</v>
      </c>
      <c r="H16" s="14">
        <f>VLOOKUP(D:D,'[1]Production Plan '!$B:$F,5,0)</f>
        <v>20</v>
      </c>
      <c r="I16" s="39">
        <v>78</v>
      </c>
      <c r="J16" s="41">
        <f t="shared" si="0"/>
        <v>2.2820362785254535E-2</v>
      </c>
      <c r="K16" s="9">
        <f t="shared" si="1"/>
        <v>3418</v>
      </c>
      <c r="L16" s="15" t="str">
        <f>VLOOKUP(D:D,[3]Sheet1!$A:$G,7,0)</f>
        <v>Three Layer</v>
      </c>
      <c r="M16" s="45"/>
      <c r="N16" s="35">
        <v>11</v>
      </c>
      <c r="O16" s="35">
        <f t="shared" si="2"/>
        <v>1</v>
      </c>
      <c r="P16" s="37" t="s">
        <v>161</v>
      </c>
    </row>
    <row r="17" spans="1:16" ht="15.75" x14ac:dyDescent="0.25">
      <c r="A17" s="8">
        <v>12</v>
      </c>
      <c r="B17" s="9" t="s">
        <v>35</v>
      </c>
      <c r="C17" s="9" t="s">
        <v>21</v>
      </c>
      <c r="D17" s="10">
        <v>11399</v>
      </c>
      <c r="E17" s="11" t="str">
        <f>VLOOKUP(D:D,'[1]Production Plan '!$B$7:$C$426,2,0)</f>
        <v>4 Inch Dia Upvc Pipe Class -D SPL Filter</v>
      </c>
      <c r="F17" s="12" t="str">
        <f>VLOOKUP(D17,'[2]Production Plan '!$B$7:$G$398,6,0)</f>
        <v>Grey</v>
      </c>
      <c r="G17" s="13">
        <v>44</v>
      </c>
      <c r="H17" s="14">
        <f>VLOOKUP(D:D,'[1]Production Plan '!$B:$F,5,0)</f>
        <v>10</v>
      </c>
      <c r="I17" s="40"/>
      <c r="J17" s="42"/>
      <c r="K17" s="9">
        <f t="shared" si="1"/>
        <v>440</v>
      </c>
      <c r="L17" s="15" t="str">
        <f>VLOOKUP(D:D,[3]Sheet1!$A:$G,7,0)</f>
        <v xml:space="preserve">Three Layer </v>
      </c>
      <c r="M17" s="45"/>
      <c r="N17" s="36"/>
      <c r="O17" s="36"/>
      <c r="P17" s="38"/>
    </row>
    <row r="18" spans="1:16" ht="15.75" x14ac:dyDescent="0.25">
      <c r="A18" s="8">
        <v>13</v>
      </c>
      <c r="B18" s="9" t="s">
        <v>36</v>
      </c>
      <c r="C18" s="9" t="s">
        <v>89</v>
      </c>
      <c r="D18" s="10">
        <v>13430</v>
      </c>
      <c r="E18" s="11" t="str">
        <f>VLOOKUP(D:D,'[1]Production Plan '!$B$7:$C$426,2,0)</f>
        <v>5 Inch Dia Upvc Pipe Class-E 1</v>
      </c>
      <c r="F18" s="12" t="str">
        <f>VLOOKUP(D18,'[2]Production Plan '!$B$7:$G$398,6,0)</f>
        <v>Grey</v>
      </c>
      <c r="G18" s="13">
        <v>21</v>
      </c>
      <c r="H18" s="14">
        <f>VLOOKUP(D:D,'[1]Production Plan '!$B:$F,5,0)</f>
        <v>37.4</v>
      </c>
      <c r="I18" s="39">
        <v>113</v>
      </c>
      <c r="J18" s="41">
        <f t="shared" si="0"/>
        <v>0.12577916295636687</v>
      </c>
      <c r="K18" s="9">
        <f t="shared" si="1"/>
        <v>898.4</v>
      </c>
      <c r="L18" s="15" t="s">
        <v>162</v>
      </c>
      <c r="M18" s="45"/>
      <c r="N18" s="35">
        <v>8</v>
      </c>
      <c r="O18" s="35">
        <f t="shared" si="2"/>
        <v>4</v>
      </c>
      <c r="P18" s="37" t="s">
        <v>163</v>
      </c>
    </row>
    <row r="19" spans="1:16" ht="15.75" x14ac:dyDescent="0.25">
      <c r="A19" s="8">
        <v>14</v>
      </c>
      <c r="B19" s="9" t="s">
        <v>36</v>
      </c>
      <c r="C19" s="9" t="s">
        <v>21</v>
      </c>
      <c r="D19" s="10">
        <v>13431</v>
      </c>
      <c r="E19" s="11" t="str">
        <f>VLOOKUP(D:D,'[1]Production Plan '!$B$7:$C$426,2,0)</f>
        <v>5 Inch Upvc Pipe (Filter) Class-E 1</v>
      </c>
      <c r="F19" s="12" t="str">
        <f>VLOOKUP(D19,'[2]Production Plan '!$B$7:$G$398,6,0)</f>
        <v>Grey</v>
      </c>
      <c r="G19" s="13">
        <v>28</v>
      </c>
      <c r="H19" s="14">
        <f>VLOOKUP(D:D,'[1]Production Plan '!$B:$F,5,0)</f>
        <v>18.7</v>
      </c>
      <c r="I19" s="40"/>
      <c r="J19" s="42"/>
      <c r="K19" s="9">
        <f t="shared" si="1"/>
        <v>523.6</v>
      </c>
      <c r="L19" s="15" t="s">
        <v>21</v>
      </c>
      <c r="M19" s="45"/>
      <c r="N19" s="36"/>
      <c r="O19" s="36"/>
      <c r="P19" s="38"/>
    </row>
    <row r="20" spans="1:16" ht="15.75" x14ac:dyDescent="0.25">
      <c r="A20" s="8">
        <v>15</v>
      </c>
      <c r="B20" s="9" t="s">
        <v>38</v>
      </c>
      <c r="C20" s="9" t="s">
        <v>21</v>
      </c>
      <c r="D20" s="10">
        <v>12934</v>
      </c>
      <c r="E20" s="11" t="str">
        <f>VLOOKUP(D:D,'[1]Production Plan '!$B$7:$C$426,2,0)</f>
        <v>110 mm Dia Upvc Pipe SWR-3 SPL</v>
      </c>
      <c r="F20" s="12" t="str">
        <f>VLOOKUP(D20,'[2]Production Plan '!$B$7:$G$398,6,0)</f>
        <v>White</v>
      </c>
      <c r="G20" s="13">
        <v>189</v>
      </c>
      <c r="H20" s="14">
        <f>VLOOKUP(D:D,'[1]Production Plan '!$B:$F,5,0)</f>
        <v>12.7</v>
      </c>
      <c r="I20" s="13"/>
      <c r="J20" s="16">
        <f t="shared" si="0"/>
        <v>0</v>
      </c>
      <c r="K20" s="9">
        <f t="shared" si="1"/>
        <v>2400.2999999999997</v>
      </c>
      <c r="L20" s="15" t="str">
        <f>VLOOKUP(D:D,[3]Sheet1!$A:$G,7,0)</f>
        <v>SWR-White</v>
      </c>
      <c r="M20" s="45"/>
      <c r="N20" s="17">
        <v>12</v>
      </c>
      <c r="O20" s="17">
        <f t="shared" si="2"/>
        <v>0</v>
      </c>
      <c r="P20" s="18"/>
    </row>
    <row r="21" spans="1:16" ht="126" x14ac:dyDescent="0.25">
      <c r="A21" s="8">
        <v>16</v>
      </c>
      <c r="B21" s="9" t="s">
        <v>39</v>
      </c>
      <c r="C21" s="9" t="s">
        <v>164</v>
      </c>
      <c r="D21" s="10">
        <v>12537</v>
      </c>
      <c r="E21" s="11" t="str">
        <f>VLOOKUP(D:D,'[1]Production Plan '!$B$7:$C$426,2,0)</f>
        <v>80mm Dia Upvc Pipe SWR-Special (White)</v>
      </c>
      <c r="F21" s="12" t="str">
        <f>VLOOKUP(D21,'[2]Production Plan '!$B$7:$G$398,6,0)</f>
        <v>White</v>
      </c>
      <c r="G21" s="13">
        <v>410</v>
      </c>
      <c r="H21" s="14">
        <f>VLOOKUP(D:D,'[1]Production Plan '!$B:$F,5,0)</f>
        <v>5.4</v>
      </c>
      <c r="I21" s="13">
        <v>97</v>
      </c>
      <c r="J21" s="16">
        <f t="shared" si="0"/>
        <v>4.1973171787105149E-2</v>
      </c>
      <c r="K21" s="9">
        <f t="shared" si="1"/>
        <v>2311</v>
      </c>
      <c r="L21" s="15" t="str">
        <f>VLOOKUP(D:D,[3]Sheet1!$A:$G,7,0)</f>
        <v>SWR-White</v>
      </c>
      <c r="M21" s="45"/>
      <c r="N21" s="17">
        <v>10</v>
      </c>
      <c r="O21" s="17">
        <f t="shared" si="2"/>
        <v>2</v>
      </c>
      <c r="P21" s="18" t="s">
        <v>165</v>
      </c>
    </row>
    <row r="22" spans="1:16" ht="31.5" x14ac:dyDescent="0.25">
      <c r="A22" s="8">
        <v>17</v>
      </c>
      <c r="B22" s="9" t="s">
        <v>40</v>
      </c>
      <c r="C22" s="9"/>
      <c r="D22" s="10">
        <v>13397</v>
      </c>
      <c r="E22" s="11" t="str">
        <f>VLOOKUP(D:D,'[1]Production Plan '!$B$7:$C$426,2,0)</f>
        <v>1.5 Inch Dia Upvc Pipe Class D-SP (Br)</v>
      </c>
      <c r="F22" s="12" t="str">
        <f>VLOOKUP(D22,'[2]Production Plan '!$B$7:$G$398,6,0)</f>
        <v>Grey</v>
      </c>
      <c r="G22" s="13">
        <v>0</v>
      </c>
      <c r="H22" s="14">
        <f>VLOOKUP(D:D,'[1]Production Plan '!$B:$F,5,0)</f>
        <v>2.85</v>
      </c>
      <c r="I22" s="13"/>
      <c r="J22" s="16" t="e">
        <f t="shared" si="0"/>
        <v>#DIV/0!</v>
      </c>
      <c r="K22" s="9">
        <f t="shared" si="1"/>
        <v>0</v>
      </c>
      <c r="L22" s="15" t="str">
        <f>VLOOKUP(D:D,[3]Sheet1!$A:$G,7,0)</f>
        <v>STD-Grey</v>
      </c>
      <c r="M22" s="45"/>
      <c r="N22" s="17">
        <v>0</v>
      </c>
      <c r="O22" s="17">
        <f t="shared" si="2"/>
        <v>12</v>
      </c>
      <c r="P22" s="18" t="s">
        <v>52</v>
      </c>
    </row>
    <row r="23" spans="1:16" ht="15.75" x14ac:dyDescent="0.25">
      <c r="A23" s="8">
        <v>18</v>
      </c>
      <c r="B23" s="9" t="s">
        <v>41</v>
      </c>
      <c r="C23" s="9" t="s">
        <v>49</v>
      </c>
      <c r="D23" s="10">
        <v>11503</v>
      </c>
      <c r="E23" s="11" t="str">
        <f>VLOOKUP(D:D,'[1]Production Plan '!$B$7:$C$426,2,0)</f>
        <v>1 Inch Dia UPVC Thread Pipe</v>
      </c>
      <c r="F23" s="12" t="str">
        <f>VLOOKUP(D23,'[2]Production Plan '!$B$7:$G$398,6,0)</f>
        <v>Green</v>
      </c>
      <c r="G23" s="13">
        <v>1220</v>
      </c>
      <c r="H23" s="14">
        <f>VLOOKUP(D:D,'[1]Production Plan '!$B:$F,5,0)</f>
        <v>1.65</v>
      </c>
      <c r="I23" s="13">
        <v>79</v>
      </c>
      <c r="J23" s="16">
        <f t="shared" si="0"/>
        <v>3.7762906309751432E-2</v>
      </c>
      <c r="K23" s="9">
        <f t="shared" si="1"/>
        <v>2092</v>
      </c>
      <c r="L23" s="15" t="str">
        <f>VLOOKUP(D:D,[3]Sheet1!$A:$G,7,0)</f>
        <v>Thread-Green</v>
      </c>
      <c r="M23" s="45"/>
      <c r="N23" s="17">
        <v>12</v>
      </c>
      <c r="O23" s="17">
        <f t="shared" si="2"/>
        <v>0</v>
      </c>
      <c r="P23" s="18"/>
    </row>
    <row r="24" spans="1:16" ht="15.75" x14ac:dyDescent="0.25">
      <c r="A24" s="8">
        <v>19</v>
      </c>
      <c r="B24" s="9" t="s">
        <v>42</v>
      </c>
      <c r="C24" s="9" t="s">
        <v>166</v>
      </c>
      <c r="D24" s="10">
        <v>12571</v>
      </c>
      <c r="E24" s="11" t="str">
        <f>VLOOKUP(D:D,'[1]Production Plan '!$B$7:$C$426,2,0)</f>
        <v>1.25 Inc HDPE Coil Pipe-Green</v>
      </c>
      <c r="F24" s="12" t="str">
        <f>VLOOKUP(D24,'[2]Production Plan '!$B$7:$G$398,6,0)</f>
        <v>Green</v>
      </c>
      <c r="G24" s="13">
        <v>5.4</v>
      </c>
      <c r="H24" s="14">
        <f>VLOOKUP(D:D,'[1]Production Plan '!$B:$F,5,0)</f>
        <v>46</v>
      </c>
      <c r="I24" s="39">
        <v>50</v>
      </c>
      <c r="J24" s="41">
        <f t="shared" si="0"/>
        <v>0.16756032171581769</v>
      </c>
      <c r="K24" s="9">
        <f t="shared" si="1"/>
        <v>298.39999999999998</v>
      </c>
      <c r="L24" s="15" t="str">
        <f>VLOOKUP(D:D,[3]Sheet1!$A:$G,7,0)</f>
        <v>HDPE D/L Green</v>
      </c>
      <c r="M24" s="45"/>
      <c r="N24" s="35">
        <v>8</v>
      </c>
      <c r="O24" s="35">
        <f t="shared" si="2"/>
        <v>4</v>
      </c>
      <c r="P24" s="37" t="s">
        <v>167</v>
      </c>
    </row>
    <row r="25" spans="1:16" ht="15.75" x14ac:dyDescent="0.25">
      <c r="A25" s="8">
        <v>20</v>
      </c>
      <c r="B25" s="9" t="s">
        <v>42</v>
      </c>
      <c r="C25" s="9" t="s">
        <v>21</v>
      </c>
      <c r="D25" s="10">
        <v>12572</v>
      </c>
      <c r="E25" s="11" t="str">
        <f>VLOOKUP(D:D,'[1]Production Plan '!$B$7:$C$426,2,0)</f>
        <v>1.5 Inc HDPE Coil Pipe-Green</v>
      </c>
      <c r="F25" s="12" t="str">
        <f>VLOOKUP(D25,'[2]Production Plan '!$B$7:$G$398,6,0)</f>
        <v>Green</v>
      </c>
      <c r="G25" s="13">
        <v>15.67</v>
      </c>
      <c r="H25" s="14">
        <f>VLOOKUP(D:D,'[1]Production Plan '!$B:$F,5,0)</f>
        <v>36.5</v>
      </c>
      <c r="I25" s="40"/>
      <c r="J25" s="42"/>
      <c r="K25" s="9">
        <f t="shared" si="1"/>
        <v>571.95500000000004</v>
      </c>
      <c r="L25" s="15" t="str">
        <f>VLOOKUP(D:D,[3]Sheet1!$A:$G,7,0)</f>
        <v>HDPE D/L Green</v>
      </c>
      <c r="M25" s="45"/>
      <c r="N25" s="36"/>
      <c r="O25" s="36"/>
      <c r="P25" s="38"/>
    </row>
    <row r="26" spans="1:16" ht="47.25" x14ac:dyDescent="0.25">
      <c r="A26" s="8">
        <v>21</v>
      </c>
      <c r="B26" s="9" t="s">
        <v>43</v>
      </c>
      <c r="C26" s="9" t="s">
        <v>37</v>
      </c>
      <c r="D26" s="10">
        <v>11317</v>
      </c>
      <c r="E26" s="11" t="str">
        <f>VLOOKUP(D:D,'[1]Production Plan '!$B$7:$C$426,2,0)</f>
        <v>110mm Dia Upvc Pipe SWR-1 Special (White)</v>
      </c>
      <c r="F26" s="12" t="str">
        <f>VLOOKUP(D26,'[2]Production Plan '!$B$7:$G$398,6,0)</f>
        <v>White</v>
      </c>
      <c r="G26" s="13">
        <v>227</v>
      </c>
      <c r="H26" s="14">
        <f>VLOOKUP(D:D,'[1]Production Plan '!$B:$F,5,0)</f>
        <v>10</v>
      </c>
      <c r="I26" s="13">
        <v>296</v>
      </c>
      <c r="J26" s="16">
        <f t="shared" si="0"/>
        <v>0.11535463756819954</v>
      </c>
      <c r="K26" s="9">
        <f t="shared" si="1"/>
        <v>2566</v>
      </c>
      <c r="L26" s="15" t="str">
        <f>VLOOKUP(D:D,[3]Sheet1!$A:$G,7,0)</f>
        <v>SWR-White</v>
      </c>
      <c r="M26" s="45"/>
      <c r="N26" s="17">
        <v>7</v>
      </c>
      <c r="O26" s="17">
        <f t="shared" si="2"/>
        <v>5</v>
      </c>
      <c r="P26" s="18" t="s">
        <v>168</v>
      </c>
    </row>
    <row r="27" spans="1:16" ht="31.5" x14ac:dyDescent="0.25">
      <c r="A27" s="8">
        <v>22</v>
      </c>
      <c r="B27" s="9" t="s">
        <v>44</v>
      </c>
      <c r="C27" s="9" t="s">
        <v>166</v>
      </c>
      <c r="D27" s="10">
        <v>13390</v>
      </c>
      <c r="E27" s="11" t="str">
        <f>VLOOKUP(D:D,'[1]Production Plan '!$B$7:$C$426,2,0)</f>
        <v>CPVC Pipe 1.5''(40mm)X3M-SDR-13.5</v>
      </c>
      <c r="F27" s="12" t="str">
        <f>VLOOKUP(D27,'[2]Production Plan '!$B$7:$G$398,6,0)</f>
        <v>Off White</v>
      </c>
      <c r="G27" s="13">
        <v>470</v>
      </c>
      <c r="H27" s="14">
        <f>VLOOKUP(D:D,'[1]Production Plan '!$B:$F,5,0)</f>
        <v>1.8</v>
      </c>
      <c r="I27" s="13">
        <v>71</v>
      </c>
      <c r="J27" s="16">
        <f t="shared" si="0"/>
        <v>7.7426390403489642E-2</v>
      </c>
      <c r="K27" s="9">
        <f t="shared" si="1"/>
        <v>917</v>
      </c>
      <c r="L27" s="15" t="str">
        <f>VLOOKUP(D:D,[3]Sheet1!$A:$G,7,0)</f>
        <v>Com..</v>
      </c>
      <c r="M27" s="45"/>
      <c r="N27" s="17">
        <v>10</v>
      </c>
      <c r="O27" s="17">
        <f t="shared" si="2"/>
        <v>2</v>
      </c>
      <c r="P27" s="18" t="s">
        <v>48</v>
      </c>
    </row>
    <row r="28" spans="1:16" ht="15.75" x14ac:dyDescent="0.25">
      <c r="A28" s="8"/>
      <c r="B28" s="9"/>
      <c r="C28" s="9"/>
      <c r="D28" s="9"/>
      <c r="E28" s="11"/>
      <c r="F28" s="12"/>
      <c r="G28" s="7"/>
      <c r="H28" s="14"/>
      <c r="I28" s="21">
        <f>SUM(I6:I27)</f>
        <v>1752</v>
      </c>
      <c r="J28" s="21"/>
      <c r="K28" s="21">
        <f>SUM(K6:K27)</f>
        <v>30170.655000000002</v>
      </c>
      <c r="L28" s="15"/>
      <c r="M28" s="45"/>
      <c r="N28" s="17"/>
      <c r="O28" s="17"/>
      <c r="P28" s="9"/>
    </row>
  </sheetData>
  <mergeCells count="19">
    <mergeCell ref="N24:N25"/>
    <mergeCell ref="O24:O25"/>
    <mergeCell ref="P24:P25"/>
    <mergeCell ref="N16:N17"/>
    <mergeCell ref="O16:O17"/>
    <mergeCell ref="P16:P17"/>
    <mergeCell ref="I18:I19"/>
    <mergeCell ref="J18:J19"/>
    <mergeCell ref="N18:N19"/>
    <mergeCell ref="O18:O19"/>
    <mergeCell ref="P18:P19"/>
    <mergeCell ref="F1:J1"/>
    <mergeCell ref="F2:J2"/>
    <mergeCell ref="F3:L3"/>
    <mergeCell ref="M6:M28"/>
    <mergeCell ref="I16:I17"/>
    <mergeCell ref="J16:J17"/>
    <mergeCell ref="I24:I25"/>
    <mergeCell ref="J24:J25"/>
  </mergeCells>
  <conditionalFormatting sqref="E28 E6:E26">
    <cfRule type="duplicateValues" dxfId="7" priority="2"/>
  </conditionalFormatting>
  <conditionalFormatting sqref="E27">
    <cfRule type="duplicateValues" dxfId="6" priority="1"/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29"/>
  <sheetViews>
    <sheetView workbookViewId="0">
      <selection activeCell="K30" sqref="K30"/>
    </sheetView>
  </sheetViews>
  <sheetFormatPr defaultRowHeight="15" x14ac:dyDescent="0.25"/>
  <cols>
    <col min="11" max="11" width="9.5703125" bestFit="1" customWidth="1"/>
  </cols>
  <sheetData>
    <row r="1" spans="1:16" ht="15.75" x14ac:dyDescent="0.25">
      <c r="A1" s="32"/>
      <c r="B1" s="32"/>
      <c r="C1" s="32"/>
      <c r="D1" s="32"/>
      <c r="E1" s="32"/>
      <c r="F1" s="43" t="s">
        <v>0</v>
      </c>
      <c r="G1" s="43"/>
      <c r="H1" s="43"/>
      <c r="I1" s="43"/>
      <c r="J1" s="43"/>
      <c r="K1" s="32"/>
      <c r="L1" s="32"/>
      <c r="M1" s="32"/>
      <c r="N1" s="32"/>
      <c r="O1" s="32"/>
      <c r="P1" s="32"/>
    </row>
    <row r="2" spans="1:16" ht="15.75" x14ac:dyDescent="0.25">
      <c r="A2" s="32"/>
      <c r="B2" s="1"/>
      <c r="C2" s="2"/>
      <c r="D2" s="32"/>
      <c r="E2" s="32"/>
      <c r="F2" s="43" t="s">
        <v>1</v>
      </c>
      <c r="G2" s="43"/>
      <c r="H2" s="43"/>
      <c r="I2" s="43"/>
      <c r="J2" s="43"/>
      <c r="K2" s="32"/>
      <c r="L2" s="32"/>
      <c r="M2" s="32"/>
      <c r="N2" s="3"/>
      <c r="O2" s="32"/>
      <c r="P2" s="32"/>
    </row>
    <row r="3" spans="1:16" ht="15.75" x14ac:dyDescent="0.25">
      <c r="A3" s="32"/>
      <c r="B3" s="32"/>
      <c r="C3" s="32"/>
      <c r="D3" s="32"/>
      <c r="E3" s="32"/>
      <c r="F3" s="44" t="s">
        <v>2</v>
      </c>
      <c r="G3" s="44"/>
      <c r="H3" s="44"/>
      <c r="I3" s="44"/>
      <c r="J3" s="44"/>
      <c r="K3" s="44"/>
      <c r="L3" s="44"/>
      <c r="M3" s="32"/>
      <c r="N3" s="32"/>
      <c r="O3" s="32"/>
      <c r="P3" s="32"/>
    </row>
    <row r="4" spans="1:16" ht="15.75" x14ac:dyDescent="0.25">
      <c r="A4" s="32"/>
      <c r="B4" s="32"/>
      <c r="C4" s="32"/>
      <c r="D4" s="32"/>
      <c r="E4" s="4" t="s">
        <v>169</v>
      </c>
      <c r="F4" s="32"/>
      <c r="G4" s="32"/>
      <c r="H4" s="32"/>
      <c r="I4" s="32"/>
      <c r="J4" s="32"/>
      <c r="K4" s="32"/>
      <c r="L4" s="5"/>
      <c r="M4" s="32"/>
      <c r="N4" s="32"/>
      <c r="O4" s="32"/>
      <c r="P4" s="6"/>
    </row>
    <row r="5" spans="1:16" ht="78.75" x14ac:dyDescent="0.25">
      <c r="A5" s="7" t="s">
        <v>3</v>
      </c>
      <c r="B5" s="7" t="s">
        <v>4</v>
      </c>
      <c r="C5" s="7" t="s">
        <v>5</v>
      </c>
      <c r="D5" s="7" t="s">
        <v>6</v>
      </c>
      <c r="E5" s="7" t="s">
        <v>7</v>
      </c>
      <c r="F5" s="7" t="s">
        <v>8</v>
      </c>
      <c r="G5" s="7" t="s">
        <v>9</v>
      </c>
      <c r="H5" s="7" t="s">
        <v>10</v>
      </c>
      <c r="I5" s="7" t="s">
        <v>11</v>
      </c>
      <c r="J5" s="7" t="s">
        <v>12</v>
      </c>
      <c r="K5" s="7" t="s">
        <v>13</v>
      </c>
      <c r="L5" s="7" t="s">
        <v>14</v>
      </c>
      <c r="M5" s="7" t="s">
        <v>15</v>
      </c>
      <c r="N5" s="7" t="s">
        <v>16</v>
      </c>
      <c r="O5" s="7" t="s">
        <v>17</v>
      </c>
      <c r="P5" s="7" t="s">
        <v>18</v>
      </c>
    </row>
    <row r="6" spans="1:16" ht="31.5" x14ac:dyDescent="0.25">
      <c r="A6" s="8">
        <v>1</v>
      </c>
      <c r="B6" s="9" t="s">
        <v>19</v>
      </c>
      <c r="C6" s="9"/>
      <c r="D6" s="10">
        <v>11141</v>
      </c>
      <c r="E6" s="11" t="str">
        <f>VLOOKUP(D:D,'[1]Production Plan '!$B$7:$C$426,2,0)</f>
        <v>4 Inch Upvc Pipe Star (Gray 20 Ft )</v>
      </c>
      <c r="F6" s="12" t="str">
        <f>VLOOKUP(D6,'[2]Production Plan '!$B$7:$G$398,6,0)</f>
        <v>Grey</v>
      </c>
      <c r="G6" s="13">
        <v>0</v>
      </c>
      <c r="H6" s="14">
        <f>VLOOKUP(D:D,'[1]Production Plan '!$B:$F,5,0)</f>
        <v>12.5</v>
      </c>
      <c r="I6" s="13">
        <v>0</v>
      </c>
      <c r="J6" s="16" t="e">
        <f>I6/(K6)</f>
        <v>#DIV/0!</v>
      </c>
      <c r="K6" s="9">
        <f>G6*H6+I6</f>
        <v>0</v>
      </c>
      <c r="L6" s="15" t="str">
        <f>VLOOKUP(D:D,[3]Sheet1!$A:$G,7,0)</f>
        <v>SWR-Grey</v>
      </c>
      <c r="M6" s="45">
        <f>I29/K29</f>
        <v>5.242344150553447E-2</v>
      </c>
      <c r="N6" s="17">
        <v>0</v>
      </c>
      <c r="O6" s="17">
        <f>12-N6</f>
        <v>12</v>
      </c>
      <c r="P6" s="18" t="s">
        <v>52</v>
      </c>
    </row>
    <row r="7" spans="1:16" ht="31.5" x14ac:dyDescent="0.25">
      <c r="A7" s="8">
        <v>2</v>
      </c>
      <c r="B7" s="9" t="s">
        <v>22</v>
      </c>
      <c r="C7" s="9" t="s">
        <v>141</v>
      </c>
      <c r="D7" s="10">
        <v>11195</v>
      </c>
      <c r="E7" s="11" t="str">
        <f>VLOOKUP(D:D,'[1]Production Plan '!$B$7:$C$426,2,0)</f>
        <v>16Inch Dia Upvc Pipe Class-B</v>
      </c>
      <c r="F7" s="12" t="str">
        <f>VLOOKUP(D7,'[2]Production Plan '!$B$7:$G$398,6,0)</f>
        <v>Grey</v>
      </c>
      <c r="G7" s="13">
        <v>19</v>
      </c>
      <c r="H7" s="14">
        <f>VLOOKUP(D:D,'[1]Production Plan '!$B:$F,5,0)</f>
        <v>132</v>
      </c>
      <c r="I7" s="19">
        <v>122</v>
      </c>
      <c r="J7" s="16">
        <f t="shared" ref="J7:J28" si="0">I7/(K7)</f>
        <v>4.6387832699619769E-2</v>
      </c>
      <c r="K7" s="9">
        <f t="shared" ref="K7:K28" si="1">G7*H7+I7</f>
        <v>2630</v>
      </c>
      <c r="L7" s="15" t="str">
        <f>VLOOKUP(D:D,[3]Sheet1!$A:$G,7,0)</f>
        <v>SBS-Grey</v>
      </c>
      <c r="M7" s="45"/>
      <c r="N7" s="17">
        <v>5</v>
      </c>
      <c r="O7" s="17">
        <f t="shared" ref="O7:O28" si="2">12-N7</f>
        <v>7</v>
      </c>
      <c r="P7" s="18" t="s">
        <v>85</v>
      </c>
    </row>
    <row r="8" spans="1:16" ht="63" x14ac:dyDescent="0.25">
      <c r="A8" s="8">
        <v>3</v>
      </c>
      <c r="B8" s="9" t="s">
        <v>24</v>
      </c>
      <c r="C8" s="19"/>
      <c r="D8" s="10">
        <v>11105</v>
      </c>
      <c r="E8" s="11" t="str">
        <f>VLOOKUP(D:D,'[1]Production Plan '!$B$7:$C$426,2,0)</f>
        <v>1 Inch Dia Upvc Pipe Class-D</v>
      </c>
      <c r="F8" s="12" t="str">
        <f>VLOOKUP(D8,'[2]Production Plan '!$B$7:$G$398,6,0)</f>
        <v>Grey</v>
      </c>
      <c r="G8" s="13">
        <v>0</v>
      </c>
      <c r="H8" s="14">
        <f>VLOOKUP(D:D,'[1]Production Plan '!$B:$F,5,0)</f>
        <v>0.85</v>
      </c>
      <c r="I8" s="13">
        <v>0</v>
      </c>
      <c r="J8" s="16" t="e">
        <f t="shared" si="0"/>
        <v>#DIV/0!</v>
      </c>
      <c r="K8" s="9">
        <f t="shared" si="1"/>
        <v>0</v>
      </c>
      <c r="L8" s="15" t="str">
        <f>VLOOKUP(D:D,[3]Sheet1!$A:$G,7,0)</f>
        <v>STD-Grey</v>
      </c>
      <c r="M8" s="45"/>
      <c r="N8" s="17">
        <v>0</v>
      </c>
      <c r="O8" s="17">
        <f t="shared" si="2"/>
        <v>12</v>
      </c>
      <c r="P8" s="18" t="s">
        <v>159</v>
      </c>
    </row>
    <row r="9" spans="1:16" ht="15.75" x14ac:dyDescent="0.25">
      <c r="A9" s="8">
        <v>4</v>
      </c>
      <c r="B9" s="9" t="s">
        <v>25</v>
      </c>
      <c r="C9" s="19" t="s">
        <v>74</v>
      </c>
      <c r="D9" s="10">
        <v>11506</v>
      </c>
      <c r="E9" s="11" t="str">
        <f>VLOOKUP(D:D,'[1]Production Plan '!$B$7:$C$426,2,0)</f>
        <v>2 Inch Dia UPVC Thread Pipe</v>
      </c>
      <c r="F9" s="12" t="str">
        <f>VLOOKUP(D9,'[2]Production Plan '!$B$7:$G$398,6,0)</f>
        <v>Green</v>
      </c>
      <c r="G9" s="13">
        <v>155</v>
      </c>
      <c r="H9" s="14">
        <f>VLOOKUP(D:D,'[1]Production Plan '!$B:$F,5,0)</f>
        <v>3.9</v>
      </c>
      <c r="I9" s="39">
        <v>120</v>
      </c>
      <c r="J9" s="41">
        <f t="shared" si="0"/>
        <v>0.16563146997929606</v>
      </c>
      <c r="K9" s="9">
        <f t="shared" si="1"/>
        <v>724.5</v>
      </c>
      <c r="L9" s="15" t="str">
        <f>VLOOKUP(D:D,[3]Sheet1!$A:$G,7,0)</f>
        <v>Thread-Green</v>
      </c>
      <c r="M9" s="45"/>
      <c r="N9" s="35">
        <v>9</v>
      </c>
      <c r="O9" s="35">
        <f t="shared" si="2"/>
        <v>3</v>
      </c>
      <c r="P9" s="37" t="s">
        <v>85</v>
      </c>
    </row>
    <row r="10" spans="1:16" ht="15.75" x14ac:dyDescent="0.25">
      <c r="A10" s="8">
        <v>5</v>
      </c>
      <c r="B10" s="9" t="s">
        <v>25</v>
      </c>
      <c r="C10" s="19" t="s">
        <v>21</v>
      </c>
      <c r="D10" s="10">
        <v>11505</v>
      </c>
      <c r="E10" s="11" t="str">
        <f>VLOOKUP(D:D,'[1]Production Plan '!$B$7:$C$426,2,0)</f>
        <v>1.5 Inch Dia UPVC Thread Pipe</v>
      </c>
      <c r="F10" s="12" t="str">
        <f>VLOOKUP(D10,'[2]Production Plan '!$B$7:$G$398,6,0)</f>
        <v>Green</v>
      </c>
      <c r="G10" s="13">
        <v>110</v>
      </c>
      <c r="H10" s="14">
        <f>VLOOKUP(D:D,'[1]Production Plan '!$B:$F,5,0)</f>
        <v>2.9</v>
      </c>
      <c r="I10" s="40"/>
      <c r="J10" s="42"/>
      <c r="K10" s="9">
        <f t="shared" si="1"/>
        <v>319</v>
      </c>
      <c r="L10" s="15"/>
      <c r="M10" s="45"/>
      <c r="N10" s="36"/>
      <c r="O10" s="36"/>
      <c r="P10" s="38"/>
    </row>
    <row r="11" spans="1:16" ht="15.75" x14ac:dyDescent="0.25">
      <c r="A11" s="8">
        <v>6</v>
      </c>
      <c r="B11" s="22" t="s">
        <v>26</v>
      </c>
      <c r="C11" s="9" t="s">
        <v>143</v>
      </c>
      <c r="D11" s="10">
        <v>13359</v>
      </c>
      <c r="E11" s="11" t="str">
        <f>VLOOKUP(D:D,'[1]Production Plan '!$B$7:$C$426,2,0)</f>
        <v>uPVC Pipe 1.5 Inch x 15 Ft Class-Economy (S)</v>
      </c>
      <c r="F11" s="12" t="str">
        <f>VLOOKUP(D11,'[2]Production Plan '!$B$7:$G$398,6,0)</f>
        <v>White</v>
      </c>
      <c r="G11" s="13">
        <v>550</v>
      </c>
      <c r="H11" s="14">
        <f>VLOOKUP(D:D,'[1]Production Plan '!$B:$F,5,0)</f>
        <v>1.72</v>
      </c>
      <c r="I11" s="13">
        <v>50</v>
      </c>
      <c r="J11" s="16">
        <f t="shared" si="0"/>
        <v>5.0200803212851405E-2</v>
      </c>
      <c r="K11" s="9">
        <f t="shared" si="1"/>
        <v>996</v>
      </c>
      <c r="L11" s="15" t="str">
        <f>VLOOKUP(D:D,[3]Sheet1!$A:$G,7,0)</f>
        <v>Special-White</v>
      </c>
      <c r="M11" s="45"/>
      <c r="N11" s="17">
        <v>12</v>
      </c>
      <c r="O11" s="17">
        <f t="shared" si="2"/>
        <v>0</v>
      </c>
      <c r="P11" s="18"/>
    </row>
    <row r="12" spans="1:16" ht="15.75" x14ac:dyDescent="0.25">
      <c r="A12" s="8">
        <v>7</v>
      </c>
      <c r="B12" s="22" t="s">
        <v>28</v>
      </c>
      <c r="C12" s="20" t="s">
        <v>21</v>
      </c>
      <c r="D12" s="10">
        <v>11303</v>
      </c>
      <c r="E12" s="11" t="str">
        <f>VLOOKUP(D:D,'[1]Production Plan '!$B$7:$C$426,2,0)</f>
        <v>50mm Dia UPVC Pipe Class-ISO</v>
      </c>
      <c r="F12" s="12" t="str">
        <f>VLOOKUP(D12,'[2]Production Plan '!$B$7:$G$398,6,0)</f>
        <v>White</v>
      </c>
      <c r="G12" s="61">
        <v>490</v>
      </c>
      <c r="H12" s="14">
        <f>VLOOKUP(D:D,'[1]Production Plan '!$B:$F,5,0)</f>
        <v>2.2000000000000002</v>
      </c>
      <c r="I12" s="13">
        <v>35</v>
      </c>
      <c r="J12" s="16">
        <f t="shared" si="0"/>
        <v>3.1446540880503145E-2</v>
      </c>
      <c r="K12" s="9">
        <f t="shared" si="1"/>
        <v>1113</v>
      </c>
      <c r="L12" s="15" t="str">
        <f>VLOOKUP(D:D,[3]Sheet1!$A:$G,7,0)</f>
        <v>SWR-White</v>
      </c>
      <c r="M12" s="45"/>
      <c r="N12" s="17">
        <v>12</v>
      </c>
      <c r="O12" s="17">
        <f t="shared" si="2"/>
        <v>0</v>
      </c>
      <c r="P12" s="18"/>
    </row>
    <row r="13" spans="1:16" ht="94.5" x14ac:dyDescent="0.25">
      <c r="A13" s="8">
        <v>8</v>
      </c>
      <c r="B13" s="9" t="s">
        <v>30</v>
      </c>
      <c r="C13" s="9" t="s">
        <v>77</v>
      </c>
      <c r="D13" s="10">
        <v>11309</v>
      </c>
      <c r="E13" s="11" t="str">
        <f>VLOOKUP(D:D,'[1]Production Plan '!$B$7:$C$426,2,0)</f>
        <v>110mm Dia UPVC Pipe ISO-2</v>
      </c>
      <c r="F13" s="12" t="str">
        <f>VLOOKUP(D13,'[2]Production Plan '!$B$7:$G$398,6,0)</f>
        <v>White</v>
      </c>
      <c r="G13" s="13">
        <v>123</v>
      </c>
      <c r="H13" s="14">
        <f>VLOOKUP(D:D,'[1]Production Plan '!$B:$F,5,0)</f>
        <v>11</v>
      </c>
      <c r="I13" s="13">
        <v>155</v>
      </c>
      <c r="J13" s="16">
        <f t="shared" si="0"/>
        <v>0.10278514588859416</v>
      </c>
      <c r="K13" s="9">
        <f t="shared" si="1"/>
        <v>1508</v>
      </c>
      <c r="L13" s="15" t="str">
        <f>VLOOKUP(D:D,[3]Sheet1!$A:$G,7,0)</f>
        <v>SWR-White</v>
      </c>
      <c r="M13" s="45"/>
      <c r="N13" s="17">
        <v>8</v>
      </c>
      <c r="O13" s="17">
        <f t="shared" si="2"/>
        <v>4</v>
      </c>
      <c r="P13" s="18" t="s">
        <v>170</v>
      </c>
    </row>
    <row r="14" spans="1:16" ht="31.5" x14ac:dyDescent="0.25">
      <c r="A14" s="8">
        <v>9</v>
      </c>
      <c r="B14" s="9" t="s">
        <v>32</v>
      </c>
      <c r="C14" s="9"/>
      <c r="D14" s="10">
        <v>11335</v>
      </c>
      <c r="E14" s="11" t="str">
        <f>VLOOKUP(D:D,'[1]Production Plan '!$B$7:$C$426,2,0)</f>
        <v>160mm Dia Upvc PN-8 Pipe</v>
      </c>
      <c r="F14" s="12" t="str">
        <f>VLOOKUP(D14,'[2]Production Plan '!$B$7:$G$398,6,0)</f>
        <v>White</v>
      </c>
      <c r="G14" s="13">
        <v>0</v>
      </c>
      <c r="H14" s="14">
        <f>VLOOKUP(D:D,'[1]Production Plan '!$B:$F,5,0)</f>
        <v>26.6</v>
      </c>
      <c r="I14" s="13">
        <v>0</v>
      </c>
      <c r="J14" s="16" t="e">
        <f t="shared" si="0"/>
        <v>#DIV/0!</v>
      </c>
      <c r="K14" s="9">
        <f t="shared" si="1"/>
        <v>0</v>
      </c>
      <c r="L14" s="15" t="str">
        <f>VLOOKUP(D:D,[3]Sheet1!$A:$G,7,0)</f>
        <v>STD-White</v>
      </c>
      <c r="M14" s="45"/>
      <c r="N14" s="17">
        <v>0</v>
      </c>
      <c r="O14" s="17">
        <f t="shared" si="2"/>
        <v>12</v>
      </c>
      <c r="P14" s="18" t="s">
        <v>52</v>
      </c>
    </row>
    <row r="15" spans="1:16" ht="31.5" x14ac:dyDescent="0.25">
      <c r="A15" s="8">
        <v>10</v>
      </c>
      <c r="B15" s="9" t="s">
        <v>33</v>
      </c>
      <c r="C15" s="20"/>
      <c r="D15" s="10">
        <v>11325</v>
      </c>
      <c r="E15" s="11" t="str">
        <f>VLOOKUP(D:D,'[1]Production Plan '!$B$7:$C$426,2,0)</f>
        <v>110 mm Dia UPVC Pipe SWR-3</v>
      </c>
      <c r="F15" s="12" t="str">
        <f>VLOOKUP(D15,'[2]Production Plan '!$B$7:$G$398,6,0)</f>
        <v>White</v>
      </c>
      <c r="G15" s="13">
        <v>0</v>
      </c>
      <c r="H15" s="14">
        <f>VLOOKUP(D:D,'[1]Production Plan '!$B:$F,5,0)</f>
        <v>12.9</v>
      </c>
      <c r="I15" s="13">
        <v>0</v>
      </c>
      <c r="J15" s="16" t="e">
        <f t="shared" si="0"/>
        <v>#DIV/0!</v>
      </c>
      <c r="K15" s="9">
        <f t="shared" si="1"/>
        <v>0</v>
      </c>
      <c r="L15" s="15" t="str">
        <f>VLOOKUP(D:D,[3]Sheet1!$A:$G,7,0)</f>
        <v>SWR-White</v>
      </c>
      <c r="M15" s="45"/>
      <c r="N15" s="17">
        <v>0</v>
      </c>
      <c r="O15" s="17">
        <f t="shared" si="2"/>
        <v>12</v>
      </c>
      <c r="P15" s="18" t="s">
        <v>52</v>
      </c>
    </row>
    <row r="16" spans="1:16" ht="15.75" x14ac:dyDescent="0.25">
      <c r="A16" s="8">
        <v>11</v>
      </c>
      <c r="B16" s="9" t="s">
        <v>34</v>
      </c>
      <c r="C16" s="20" t="s">
        <v>110</v>
      </c>
      <c r="D16" s="10">
        <v>11502</v>
      </c>
      <c r="E16" s="11" t="str">
        <f>VLOOKUP(D:D,'[1]Production Plan '!$B$7:$C$426,2,0)</f>
        <v>0.75 Inch Dia UPVC Thread Pipe</v>
      </c>
      <c r="F16" s="12" t="str">
        <f>VLOOKUP(D16,'[2]Production Plan '!$B$7:$G$398,6,0)</f>
        <v>Green</v>
      </c>
      <c r="G16" s="13">
        <v>1060</v>
      </c>
      <c r="H16" s="14">
        <f>VLOOKUP(D:D,'[1]Production Plan '!$B:$F,5,0)</f>
        <v>1.24</v>
      </c>
      <c r="I16" s="13">
        <v>85</v>
      </c>
      <c r="J16" s="16">
        <f t="shared" si="0"/>
        <v>6.0740317278833784E-2</v>
      </c>
      <c r="K16" s="9">
        <f t="shared" si="1"/>
        <v>1399.4</v>
      </c>
      <c r="L16" s="15" t="str">
        <f>VLOOKUP(D:D,[3]Sheet1!$A:$G,7,0)</f>
        <v>Thread-Green</v>
      </c>
      <c r="M16" s="45"/>
      <c r="N16" s="17">
        <v>12</v>
      </c>
      <c r="O16" s="17">
        <f t="shared" si="2"/>
        <v>0</v>
      </c>
      <c r="P16" s="18"/>
    </row>
    <row r="17" spans="1:16" ht="15.75" x14ac:dyDescent="0.25">
      <c r="A17" s="8">
        <v>12</v>
      </c>
      <c r="B17" s="9" t="s">
        <v>35</v>
      </c>
      <c r="C17" s="9" t="s">
        <v>171</v>
      </c>
      <c r="D17" s="10">
        <v>11391</v>
      </c>
      <c r="E17" s="11" t="str">
        <f>VLOOKUP(D:D,'[1]Production Plan '!$B$7:$C$426,2,0)</f>
        <v>4 Inch Dia UPVC Pipe Class-D SPL</v>
      </c>
      <c r="F17" s="12" t="str">
        <f>VLOOKUP(D17,'[2]Production Plan '!$B$7:$G$398,6,0)</f>
        <v>Grey</v>
      </c>
      <c r="G17" s="13">
        <v>156</v>
      </c>
      <c r="H17" s="14">
        <f>VLOOKUP(D:D,'[1]Production Plan '!$B:$F,5,0)</f>
        <v>20</v>
      </c>
      <c r="I17" s="39">
        <v>90</v>
      </c>
      <c r="J17" s="41">
        <f t="shared" si="0"/>
        <v>2.8037383177570093E-2</v>
      </c>
      <c r="K17" s="9">
        <f t="shared" si="1"/>
        <v>3210</v>
      </c>
      <c r="L17" s="15" t="str">
        <f>VLOOKUP(D:D,[3]Sheet1!$A:$G,7,0)</f>
        <v>Three Layer</v>
      </c>
      <c r="M17" s="45"/>
      <c r="N17" s="35">
        <v>12</v>
      </c>
      <c r="O17" s="35">
        <f t="shared" si="2"/>
        <v>0</v>
      </c>
      <c r="P17" s="37" t="s">
        <v>161</v>
      </c>
    </row>
    <row r="18" spans="1:16" ht="15.75" x14ac:dyDescent="0.25">
      <c r="A18" s="8">
        <v>13</v>
      </c>
      <c r="B18" s="9" t="s">
        <v>35</v>
      </c>
      <c r="C18" s="9" t="s">
        <v>21</v>
      </c>
      <c r="D18" s="10">
        <v>11399</v>
      </c>
      <c r="E18" s="11" t="str">
        <f>VLOOKUP(D:D,'[1]Production Plan '!$B$7:$C$426,2,0)</f>
        <v>4 Inch Dia Upvc Pipe Class -D SPL Filter</v>
      </c>
      <c r="F18" s="12" t="str">
        <f>VLOOKUP(D18,'[2]Production Plan '!$B$7:$G$398,6,0)</f>
        <v>Grey</v>
      </c>
      <c r="G18" s="13">
        <v>23</v>
      </c>
      <c r="H18" s="14">
        <f>VLOOKUP(D:D,'[1]Production Plan '!$B:$F,5,0)</f>
        <v>10</v>
      </c>
      <c r="I18" s="40"/>
      <c r="J18" s="42"/>
      <c r="K18" s="9">
        <f t="shared" si="1"/>
        <v>230</v>
      </c>
      <c r="L18" s="15" t="str">
        <f>VLOOKUP(D:D,[3]Sheet1!$A:$G,7,0)</f>
        <v xml:space="preserve">Three Layer </v>
      </c>
      <c r="M18" s="45"/>
      <c r="N18" s="36"/>
      <c r="O18" s="36"/>
      <c r="P18" s="38"/>
    </row>
    <row r="19" spans="1:16" ht="15.75" x14ac:dyDescent="0.25">
      <c r="A19" s="8">
        <v>14</v>
      </c>
      <c r="B19" s="9" t="s">
        <v>36</v>
      </c>
      <c r="C19" s="9" t="s">
        <v>31</v>
      </c>
      <c r="D19" s="10">
        <v>13430</v>
      </c>
      <c r="E19" s="11" t="str">
        <f>VLOOKUP(D:D,'[1]Production Plan '!$B$7:$C$426,2,0)</f>
        <v>5 Inch Dia Upvc Pipe Class-E 1</v>
      </c>
      <c r="F19" s="12" t="str">
        <f>VLOOKUP(D19,'[2]Production Plan '!$B$7:$G$398,6,0)</f>
        <v>Grey</v>
      </c>
      <c r="G19" s="13">
        <v>51</v>
      </c>
      <c r="H19" s="14">
        <f>VLOOKUP(D:D,'[1]Production Plan '!$B:$F,5,0)</f>
        <v>37.4</v>
      </c>
      <c r="I19" s="39">
        <v>35</v>
      </c>
      <c r="J19" s="41">
        <f t="shared" si="0"/>
        <v>1.8018945634266887E-2</v>
      </c>
      <c r="K19" s="9">
        <f t="shared" si="1"/>
        <v>1942.3999999999999</v>
      </c>
      <c r="L19" s="15" t="s">
        <v>162</v>
      </c>
      <c r="M19" s="45"/>
      <c r="N19" s="35">
        <v>12</v>
      </c>
      <c r="O19" s="35">
        <f t="shared" si="2"/>
        <v>0</v>
      </c>
      <c r="P19" s="37"/>
    </row>
    <row r="20" spans="1:16" ht="15.75" x14ac:dyDescent="0.25">
      <c r="A20" s="8">
        <v>15</v>
      </c>
      <c r="B20" s="9" t="s">
        <v>36</v>
      </c>
      <c r="C20" s="9" t="s">
        <v>21</v>
      </c>
      <c r="D20" s="10">
        <v>13431</v>
      </c>
      <c r="E20" s="11" t="str">
        <f>VLOOKUP(D:D,'[1]Production Plan '!$B$7:$C$426,2,0)</f>
        <v>5 Inch Upvc Pipe (Filter) Class-E 1</v>
      </c>
      <c r="F20" s="12" t="str">
        <f>VLOOKUP(D20,'[2]Production Plan '!$B$7:$G$398,6,0)</f>
        <v>Grey</v>
      </c>
      <c r="G20" s="13">
        <v>0</v>
      </c>
      <c r="H20" s="14">
        <f>VLOOKUP(D:D,'[1]Production Plan '!$B:$F,5,0)</f>
        <v>18.7</v>
      </c>
      <c r="I20" s="40"/>
      <c r="J20" s="42"/>
      <c r="K20" s="9">
        <f t="shared" si="1"/>
        <v>0</v>
      </c>
      <c r="L20" s="15" t="s">
        <v>21</v>
      </c>
      <c r="M20" s="45"/>
      <c r="N20" s="36"/>
      <c r="O20" s="36"/>
      <c r="P20" s="38"/>
    </row>
    <row r="21" spans="1:16" ht="15.75" x14ac:dyDescent="0.25">
      <c r="A21" s="8">
        <v>16</v>
      </c>
      <c r="B21" s="9" t="s">
        <v>38</v>
      </c>
      <c r="C21" s="9" t="s">
        <v>21</v>
      </c>
      <c r="D21" s="10">
        <v>12934</v>
      </c>
      <c r="E21" s="11" t="str">
        <f>VLOOKUP(D:D,'[1]Production Plan '!$B$7:$C$426,2,0)</f>
        <v>110 mm Dia Upvc Pipe SWR-3 SPL</v>
      </c>
      <c r="F21" s="12" t="str">
        <f>VLOOKUP(D21,'[2]Production Plan '!$B$7:$G$398,6,0)</f>
        <v>White</v>
      </c>
      <c r="G21" s="13">
        <v>184</v>
      </c>
      <c r="H21" s="14">
        <f>VLOOKUP(D:D,'[1]Production Plan '!$B:$F,5,0)</f>
        <v>12.7</v>
      </c>
      <c r="I21" s="13">
        <v>0</v>
      </c>
      <c r="J21" s="16">
        <f t="shared" si="0"/>
        <v>0</v>
      </c>
      <c r="K21" s="9">
        <f t="shared" si="1"/>
        <v>2336.7999999999997</v>
      </c>
      <c r="L21" s="15" t="str">
        <f>VLOOKUP(D:D,[3]Sheet1!$A:$G,7,0)</f>
        <v>SWR-White</v>
      </c>
      <c r="M21" s="45"/>
      <c r="N21" s="17">
        <v>12</v>
      </c>
      <c r="O21" s="17">
        <f t="shared" si="2"/>
        <v>0</v>
      </c>
      <c r="P21" s="18"/>
    </row>
    <row r="22" spans="1:16" ht="94.5" x14ac:dyDescent="0.25">
      <c r="A22" s="8">
        <v>17</v>
      </c>
      <c r="B22" s="9" t="s">
        <v>39</v>
      </c>
      <c r="C22" s="9"/>
      <c r="D22" s="10">
        <v>12537</v>
      </c>
      <c r="E22" s="11" t="str">
        <f>VLOOKUP(D:D,'[1]Production Plan '!$B$7:$C$426,2,0)</f>
        <v>80mm Dia Upvc Pipe SWR-Special (White)</v>
      </c>
      <c r="F22" s="12" t="str">
        <f>VLOOKUP(D22,'[2]Production Plan '!$B$7:$G$398,6,0)</f>
        <v>White</v>
      </c>
      <c r="G22" s="13">
        <v>86</v>
      </c>
      <c r="H22" s="14">
        <f>VLOOKUP(D:D,'[1]Production Plan '!$B:$F,5,0)</f>
        <v>5.4</v>
      </c>
      <c r="I22" s="13">
        <v>315</v>
      </c>
      <c r="J22" s="16">
        <f t="shared" si="0"/>
        <v>0.40415704387990758</v>
      </c>
      <c r="K22" s="9">
        <f t="shared" si="1"/>
        <v>779.40000000000009</v>
      </c>
      <c r="L22" s="15" t="str">
        <f>VLOOKUP(D:D,[3]Sheet1!$A:$G,7,0)</f>
        <v>SWR-White</v>
      </c>
      <c r="M22" s="45"/>
      <c r="N22" s="17">
        <v>8</v>
      </c>
      <c r="O22" s="17">
        <f t="shared" si="2"/>
        <v>4</v>
      </c>
      <c r="P22" s="18" t="s">
        <v>172</v>
      </c>
    </row>
    <row r="23" spans="1:16" ht="31.5" x14ac:dyDescent="0.25">
      <c r="A23" s="8">
        <v>18</v>
      </c>
      <c r="B23" s="9" t="s">
        <v>40</v>
      </c>
      <c r="C23" s="9"/>
      <c r="D23" s="10">
        <v>13397</v>
      </c>
      <c r="E23" s="11" t="str">
        <f>VLOOKUP(D:D,'[1]Production Plan '!$B$7:$C$426,2,0)</f>
        <v>1.5 Inch Dia Upvc Pipe Class D-SP (Br)</v>
      </c>
      <c r="F23" s="12" t="str">
        <f>VLOOKUP(D23,'[2]Production Plan '!$B$7:$G$398,6,0)</f>
        <v>Grey</v>
      </c>
      <c r="G23" s="13">
        <v>0</v>
      </c>
      <c r="H23" s="14">
        <f>VLOOKUP(D:D,'[1]Production Plan '!$B:$F,5,0)</f>
        <v>2.85</v>
      </c>
      <c r="I23" s="13">
        <v>0</v>
      </c>
      <c r="J23" s="16" t="e">
        <f t="shared" si="0"/>
        <v>#DIV/0!</v>
      </c>
      <c r="K23" s="9">
        <f t="shared" si="1"/>
        <v>0</v>
      </c>
      <c r="L23" s="15" t="str">
        <f>VLOOKUP(D:D,[3]Sheet1!$A:$G,7,0)</f>
        <v>STD-Grey</v>
      </c>
      <c r="M23" s="45"/>
      <c r="N23" s="17">
        <v>0</v>
      </c>
      <c r="O23" s="17">
        <f t="shared" si="2"/>
        <v>12</v>
      </c>
      <c r="P23" s="18" t="s">
        <v>52</v>
      </c>
    </row>
    <row r="24" spans="1:16" ht="15.75" x14ac:dyDescent="0.25">
      <c r="A24" s="8">
        <v>19</v>
      </c>
      <c r="B24" s="9" t="s">
        <v>41</v>
      </c>
      <c r="C24" s="9" t="s">
        <v>110</v>
      </c>
      <c r="D24" s="10">
        <v>11503</v>
      </c>
      <c r="E24" s="11" t="str">
        <f>VLOOKUP(D:D,'[1]Production Plan '!$B$7:$C$426,2,0)</f>
        <v>1 Inch Dia UPVC Thread Pipe</v>
      </c>
      <c r="F24" s="12" t="str">
        <f>VLOOKUP(D24,'[2]Production Plan '!$B$7:$G$398,6,0)</f>
        <v>Green</v>
      </c>
      <c r="G24" s="13">
        <v>1080</v>
      </c>
      <c r="H24" s="14">
        <f>VLOOKUP(D:D,'[1]Production Plan '!$B:$F,5,0)</f>
        <v>1.65</v>
      </c>
      <c r="I24" s="13">
        <v>92</v>
      </c>
      <c r="J24" s="16">
        <f t="shared" si="0"/>
        <v>4.909284951974386E-2</v>
      </c>
      <c r="K24" s="9">
        <f t="shared" si="1"/>
        <v>1874</v>
      </c>
      <c r="L24" s="15" t="str">
        <f>VLOOKUP(D:D,[3]Sheet1!$A:$G,7,0)</f>
        <v>Thread-Green</v>
      </c>
      <c r="M24" s="45"/>
      <c r="N24" s="17">
        <v>12</v>
      </c>
      <c r="O24" s="17">
        <f t="shared" si="2"/>
        <v>0</v>
      </c>
      <c r="P24" s="18"/>
    </row>
    <row r="25" spans="1:16" ht="15.75" x14ac:dyDescent="0.25">
      <c r="A25" s="8">
        <v>20</v>
      </c>
      <c r="B25" s="9" t="s">
        <v>42</v>
      </c>
      <c r="C25" s="9" t="s">
        <v>46</v>
      </c>
      <c r="D25" s="10">
        <v>12571</v>
      </c>
      <c r="E25" s="11" t="str">
        <f>VLOOKUP(D:D,'[1]Production Plan '!$B$7:$C$426,2,0)</f>
        <v>1.25 Inc HDPE Coil Pipe-Green</v>
      </c>
      <c r="F25" s="12" t="str">
        <f>VLOOKUP(D25,'[2]Production Plan '!$B$7:$G$398,6,0)</f>
        <v>Green</v>
      </c>
      <c r="G25" s="13">
        <v>11</v>
      </c>
      <c r="H25" s="14">
        <f>VLOOKUP(D:D,'[1]Production Plan '!$B:$F,5,0)</f>
        <v>46</v>
      </c>
      <c r="I25" s="39">
        <v>20</v>
      </c>
      <c r="J25" s="41">
        <f t="shared" si="0"/>
        <v>3.8022813688212927E-2</v>
      </c>
      <c r="K25" s="9">
        <f t="shared" si="1"/>
        <v>526</v>
      </c>
      <c r="L25" s="15" t="str">
        <f>VLOOKUP(D:D,[3]Sheet1!$A:$G,7,0)</f>
        <v>HDPE D/L Green</v>
      </c>
      <c r="M25" s="45"/>
      <c r="N25" s="35">
        <v>8</v>
      </c>
      <c r="O25" s="35">
        <f t="shared" si="2"/>
        <v>4</v>
      </c>
      <c r="P25" s="37" t="s">
        <v>167</v>
      </c>
    </row>
    <row r="26" spans="1:16" ht="15.75" x14ac:dyDescent="0.25">
      <c r="A26" s="8">
        <v>21</v>
      </c>
      <c r="B26" s="9" t="s">
        <v>42</v>
      </c>
      <c r="C26" s="9" t="s">
        <v>21</v>
      </c>
      <c r="D26" s="10">
        <v>12569</v>
      </c>
      <c r="E26" s="11" t="str">
        <f>VLOOKUP(D:D,'[1]Production Plan '!$B$7:$C$426,2,0)</f>
        <v>0.75 Inc HDPE Coil Pipe-Green</v>
      </c>
      <c r="F26" s="12" t="str">
        <f>VLOOKUP(D26,'[2]Production Plan '!$B$7:$G$398,6,0)</f>
        <v>Green</v>
      </c>
      <c r="G26" s="13">
        <v>8</v>
      </c>
      <c r="H26" s="14">
        <f>VLOOKUP(D:D,'[1]Production Plan '!$B:$F,5,0)</f>
        <v>24.5</v>
      </c>
      <c r="I26" s="40"/>
      <c r="J26" s="42"/>
      <c r="K26" s="9">
        <f t="shared" si="1"/>
        <v>196</v>
      </c>
      <c r="L26" s="15" t="str">
        <f>VLOOKUP(D:D,[3]Sheet1!$A:$G,7,0)</f>
        <v>HDPE D/L Green</v>
      </c>
      <c r="M26" s="45"/>
      <c r="N26" s="36"/>
      <c r="O26" s="36"/>
      <c r="P26" s="38"/>
    </row>
    <row r="27" spans="1:16" ht="15.75" x14ac:dyDescent="0.25">
      <c r="A27" s="8">
        <v>22</v>
      </c>
      <c r="B27" s="9" t="s">
        <v>43</v>
      </c>
      <c r="C27" s="9" t="s">
        <v>54</v>
      </c>
      <c r="D27" s="10">
        <v>11317</v>
      </c>
      <c r="E27" s="11" t="str">
        <f>VLOOKUP(D:D,'[1]Production Plan '!$B$7:$C$426,2,0)</f>
        <v>110mm Dia Upvc Pipe SWR-1 Special (White)</v>
      </c>
      <c r="F27" s="12" t="str">
        <f>VLOOKUP(D27,'[2]Production Plan '!$B$7:$G$398,6,0)</f>
        <v>White</v>
      </c>
      <c r="G27" s="13">
        <v>433</v>
      </c>
      <c r="H27" s="14">
        <f>VLOOKUP(D:D,'[1]Production Plan '!$B:$F,5,0)</f>
        <v>10</v>
      </c>
      <c r="I27" s="13">
        <v>160</v>
      </c>
      <c r="J27" s="16">
        <f t="shared" si="0"/>
        <v>3.5634743875278395E-2</v>
      </c>
      <c r="K27" s="9">
        <f t="shared" si="1"/>
        <v>4490</v>
      </c>
      <c r="L27" s="15" t="str">
        <f>VLOOKUP(D:D,[3]Sheet1!$A:$G,7,0)</f>
        <v>SWR-White</v>
      </c>
      <c r="M27" s="45"/>
      <c r="N27" s="17">
        <v>12</v>
      </c>
      <c r="O27" s="17">
        <f t="shared" si="2"/>
        <v>0</v>
      </c>
      <c r="P27" s="18"/>
    </row>
    <row r="28" spans="1:16" ht="15.75" x14ac:dyDescent="0.25">
      <c r="A28" s="8">
        <v>23</v>
      </c>
      <c r="B28" s="9" t="s">
        <v>44</v>
      </c>
      <c r="C28" s="9" t="s">
        <v>46</v>
      </c>
      <c r="D28" s="10">
        <v>13390</v>
      </c>
      <c r="E28" s="11" t="str">
        <f>VLOOKUP(D:D,'[1]Production Plan '!$B$7:$C$426,2,0)</f>
        <v>CPVC Pipe 1.5''(40mm)X3M-SDR-13.5</v>
      </c>
      <c r="F28" s="12" t="str">
        <f>VLOOKUP(D28,'[2]Production Plan '!$B$7:$G$398,6,0)</f>
        <v>Off White</v>
      </c>
      <c r="G28" s="13">
        <v>470</v>
      </c>
      <c r="H28" s="14">
        <f>VLOOKUP(D:D,'[1]Production Plan '!$B:$F,5,0)</f>
        <v>1.8</v>
      </c>
      <c r="I28" s="13">
        <v>40</v>
      </c>
      <c r="J28" s="16">
        <f t="shared" si="0"/>
        <v>4.5146726862302484E-2</v>
      </c>
      <c r="K28" s="9">
        <f t="shared" si="1"/>
        <v>886</v>
      </c>
      <c r="L28" s="15" t="str">
        <f>VLOOKUP(D:D,[3]Sheet1!$A:$G,7,0)</f>
        <v>Com..</v>
      </c>
      <c r="M28" s="45"/>
      <c r="N28" s="17">
        <v>12</v>
      </c>
      <c r="O28" s="17">
        <f t="shared" si="2"/>
        <v>0</v>
      </c>
      <c r="P28" s="18"/>
    </row>
    <row r="29" spans="1:16" ht="15.75" x14ac:dyDescent="0.25">
      <c r="A29" s="8"/>
      <c r="B29" s="9"/>
      <c r="C29" s="9"/>
      <c r="D29" s="9"/>
      <c r="E29" s="11"/>
      <c r="F29" s="12"/>
      <c r="G29" s="7"/>
      <c r="H29" s="14"/>
      <c r="I29" s="21">
        <f>SUM(I6:I28)</f>
        <v>1319</v>
      </c>
      <c r="J29" s="21"/>
      <c r="K29" s="21">
        <f>SUM(K6:K28)</f>
        <v>25160.5</v>
      </c>
      <c r="L29" s="15"/>
      <c r="M29" s="45"/>
      <c r="N29" s="17"/>
      <c r="O29" s="17"/>
      <c r="P29" s="9"/>
    </row>
  </sheetData>
  <mergeCells count="24">
    <mergeCell ref="N19:N20"/>
    <mergeCell ref="O19:O20"/>
    <mergeCell ref="P19:P20"/>
    <mergeCell ref="I25:I26"/>
    <mergeCell ref="J25:J26"/>
    <mergeCell ref="N25:N26"/>
    <mergeCell ref="O25:O26"/>
    <mergeCell ref="P25:P26"/>
    <mergeCell ref="N9:N10"/>
    <mergeCell ref="O9:O10"/>
    <mergeCell ref="P9:P10"/>
    <mergeCell ref="I17:I18"/>
    <mergeCell ref="J17:J18"/>
    <mergeCell ref="N17:N18"/>
    <mergeCell ref="O17:O18"/>
    <mergeCell ref="P17:P18"/>
    <mergeCell ref="F1:J1"/>
    <mergeCell ref="F2:J2"/>
    <mergeCell ref="F3:L3"/>
    <mergeCell ref="M6:M29"/>
    <mergeCell ref="I9:I10"/>
    <mergeCell ref="J9:J10"/>
    <mergeCell ref="I19:I20"/>
    <mergeCell ref="J19:J20"/>
  </mergeCells>
  <conditionalFormatting sqref="E29 E6:E27">
    <cfRule type="duplicateValues" dxfId="5" priority="2"/>
  </conditionalFormatting>
  <conditionalFormatting sqref="E28">
    <cfRule type="duplicateValues" dxfId="4" priority="1"/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31"/>
  <sheetViews>
    <sheetView tabSelected="1" topLeftCell="A19" workbookViewId="0">
      <selection activeCell="K32" sqref="K32"/>
    </sheetView>
  </sheetViews>
  <sheetFormatPr defaultRowHeight="15" x14ac:dyDescent="0.25"/>
  <cols>
    <col min="11" max="11" width="9.5703125" bestFit="1" customWidth="1"/>
  </cols>
  <sheetData>
    <row r="1" spans="1:16" ht="15.75" x14ac:dyDescent="0.25">
      <c r="A1" s="32"/>
      <c r="B1" s="32"/>
      <c r="C1" s="32"/>
      <c r="D1" s="32"/>
      <c r="E1" s="32"/>
      <c r="F1" s="43" t="s">
        <v>0</v>
      </c>
      <c r="G1" s="43"/>
      <c r="H1" s="43"/>
      <c r="I1" s="43"/>
      <c r="J1" s="43"/>
      <c r="K1" s="32"/>
      <c r="L1" s="32"/>
      <c r="M1" s="32"/>
      <c r="N1" s="32"/>
      <c r="O1" s="32"/>
      <c r="P1" s="32"/>
    </row>
    <row r="2" spans="1:16" ht="15.75" x14ac:dyDescent="0.25">
      <c r="A2" s="32"/>
      <c r="B2" s="1"/>
      <c r="C2" s="2"/>
      <c r="D2" s="32"/>
      <c r="E2" s="32"/>
      <c r="F2" s="43" t="s">
        <v>1</v>
      </c>
      <c r="G2" s="43"/>
      <c r="H2" s="43"/>
      <c r="I2" s="43"/>
      <c r="J2" s="43"/>
      <c r="K2" s="32"/>
      <c r="L2" s="32"/>
      <c r="M2" s="32"/>
      <c r="N2" s="3"/>
      <c r="O2" s="32"/>
      <c r="P2" s="32"/>
    </row>
    <row r="3" spans="1:16" ht="15.75" x14ac:dyDescent="0.25">
      <c r="A3" s="32"/>
      <c r="B3" s="32"/>
      <c r="C3" s="32"/>
      <c r="D3" s="32"/>
      <c r="E3" s="32"/>
      <c r="F3" s="44" t="s">
        <v>2</v>
      </c>
      <c r="G3" s="44"/>
      <c r="H3" s="44"/>
      <c r="I3" s="44"/>
      <c r="J3" s="44"/>
      <c r="K3" s="44"/>
      <c r="L3" s="44"/>
      <c r="M3" s="32"/>
      <c r="N3" s="32"/>
      <c r="O3" s="32"/>
      <c r="P3" s="32"/>
    </row>
    <row r="4" spans="1:16" ht="15.75" x14ac:dyDescent="0.25">
      <c r="A4" s="32"/>
      <c r="B4" s="32"/>
      <c r="C4" s="32"/>
      <c r="D4" s="32"/>
      <c r="E4" s="4" t="s">
        <v>173</v>
      </c>
      <c r="F4" s="32"/>
      <c r="G4" s="32"/>
      <c r="H4" s="32"/>
      <c r="I4" s="32"/>
      <c r="J4" s="32"/>
      <c r="K4" s="32"/>
      <c r="L4" s="5"/>
      <c r="M4" s="32"/>
      <c r="N4" s="32"/>
      <c r="O4" s="32"/>
      <c r="P4" s="6"/>
    </row>
    <row r="5" spans="1:16" ht="78.75" x14ac:dyDescent="0.25">
      <c r="A5" s="7" t="s">
        <v>3</v>
      </c>
      <c r="B5" s="7" t="s">
        <v>4</v>
      </c>
      <c r="C5" s="7" t="s">
        <v>5</v>
      </c>
      <c r="D5" s="7" t="s">
        <v>6</v>
      </c>
      <c r="E5" s="7" t="s">
        <v>7</v>
      </c>
      <c r="F5" s="7" t="s">
        <v>8</v>
      </c>
      <c r="G5" s="7" t="s">
        <v>9</v>
      </c>
      <c r="H5" s="7" t="s">
        <v>10</v>
      </c>
      <c r="I5" s="7" t="s">
        <v>11</v>
      </c>
      <c r="J5" s="7" t="s">
        <v>12</v>
      </c>
      <c r="K5" s="7" t="s">
        <v>13</v>
      </c>
      <c r="L5" s="7" t="s">
        <v>14</v>
      </c>
      <c r="M5" s="7" t="s">
        <v>15</v>
      </c>
      <c r="N5" s="7" t="s">
        <v>16</v>
      </c>
      <c r="O5" s="7" t="s">
        <v>17</v>
      </c>
      <c r="P5" s="7" t="s">
        <v>18</v>
      </c>
    </row>
    <row r="6" spans="1:16" ht="31.5" x14ac:dyDescent="0.25">
      <c r="A6" s="8">
        <v>1</v>
      </c>
      <c r="B6" s="9" t="s">
        <v>19</v>
      </c>
      <c r="C6" s="9"/>
      <c r="D6" s="10">
        <v>11141</v>
      </c>
      <c r="E6" s="11" t="str">
        <f>VLOOKUP(D:D,'[1]Production Plan '!$B$7:$C$426,2,0)</f>
        <v>4 Inch Upvc Pipe Star (Gray 20 Ft )</v>
      </c>
      <c r="F6" s="12" t="str">
        <f>VLOOKUP(D6,'[2]Production Plan '!$B$7:$G$398,6,0)</f>
        <v>Grey</v>
      </c>
      <c r="G6" s="13">
        <v>0</v>
      </c>
      <c r="H6" s="14">
        <f>VLOOKUP(D:D,'[1]Production Plan '!$B:$F,5,0)</f>
        <v>12.5</v>
      </c>
      <c r="I6" s="13"/>
      <c r="J6" s="16" t="e">
        <f>I6/(K6)</f>
        <v>#DIV/0!</v>
      </c>
      <c r="K6" s="9">
        <f>G6*H6+I6</f>
        <v>0</v>
      </c>
      <c r="L6" s="15" t="str">
        <f>VLOOKUP(D:D,[3]Sheet1!$A:$G,7,0)</f>
        <v>SWR-Grey</v>
      </c>
      <c r="M6" s="45">
        <f>I31/K31</f>
        <v>5.8895396888138274E-2</v>
      </c>
      <c r="N6" s="17">
        <v>0</v>
      </c>
      <c r="O6" s="17">
        <f>12-N6</f>
        <v>12</v>
      </c>
      <c r="P6" s="18" t="s">
        <v>52</v>
      </c>
    </row>
    <row r="7" spans="1:16" ht="31.5" x14ac:dyDescent="0.25">
      <c r="A7" s="8">
        <v>2</v>
      </c>
      <c r="B7" s="9" t="s">
        <v>22</v>
      </c>
      <c r="C7" s="9"/>
      <c r="D7" s="10">
        <v>11336</v>
      </c>
      <c r="E7" s="11" t="str">
        <f>VLOOKUP(D:D,'[1]Production Plan '!$B$7:$C$426,2,0)</f>
        <v>160mm Dia UPVC Pipe ISO (R) (Thickness 4.5-4.6 6mm)</v>
      </c>
      <c r="F7" s="12" t="str">
        <f>VLOOKUP(D7,'[2]Production Plan '!$B$7:$G$398,6,0)</f>
        <v>White</v>
      </c>
      <c r="G7" s="13">
        <v>97</v>
      </c>
      <c r="H7" s="14">
        <f>VLOOKUP(D:D,'[1]Production Plan '!$B:$F,5,0)</f>
        <v>25.7</v>
      </c>
      <c r="I7" s="19">
        <v>232</v>
      </c>
      <c r="J7" s="16">
        <f t="shared" ref="J7:J29" si="0">I7/(K7)</f>
        <v>8.5140739109692096E-2</v>
      </c>
      <c r="K7" s="9">
        <f t="shared" ref="K7:K30" si="1">G7*H7+I7</f>
        <v>2724.9</v>
      </c>
      <c r="L7" s="15" t="str">
        <f>VLOOKUP(D:D,[3]Sheet1!$A:$G,7,0)</f>
        <v>SWR-White</v>
      </c>
      <c r="M7" s="45"/>
      <c r="N7" s="17">
        <v>9</v>
      </c>
      <c r="O7" s="17">
        <f t="shared" ref="O7:O8" si="2">12-N7</f>
        <v>3</v>
      </c>
      <c r="P7" s="18" t="s">
        <v>55</v>
      </c>
    </row>
    <row r="8" spans="1:16" ht="31.5" x14ac:dyDescent="0.25">
      <c r="A8" s="8">
        <v>3</v>
      </c>
      <c r="B8" s="9" t="s">
        <v>24</v>
      </c>
      <c r="C8" s="19" t="s">
        <v>174</v>
      </c>
      <c r="D8" s="10">
        <v>11105</v>
      </c>
      <c r="E8" s="11" t="str">
        <f>VLOOKUP(D:D,'[1]Production Plan '!$B$7:$C$426,2,0)</f>
        <v>1 Inch Dia Upvc Pipe Class-D</v>
      </c>
      <c r="F8" s="12" t="str">
        <f>VLOOKUP(D8,'[2]Production Plan '!$B$7:$G$398,6,0)</f>
        <v>Grey</v>
      </c>
      <c r="G8" s="13">
        <v>0</v>
      </c>
      <c r="H8" s="14">
        <f>VLOOKUP(D:D,'[1]Production Plan '!$B:$F,5,0)</f>
        <v>0.85</v>
      </c>
      <c r="I8" s="13"/>
      <c r="J8" s="16" t="e">
        <f t="shared" si="0"/>
        <v>#DIV/0!</v>
      </c>
      <c r="K8" s="9">
        <f t="shared" si="1"/>
        <v>0</v>
      </c>
      <c r="L8" s="15" t="str">
        <f>VLOOKUP(D:D,[3]Sheet1!$A:$G,7,0)</f>
        <v>STD-Grey</v>
      </c>
      <c r="M8" s="45"/>
      <c r="N8" s="17">
        <v>0</v>
      </c>
      <c r="O8" s="17">
        <f t="shared" si="2"/>
        <v>12</v>
      </c>
      <c r="P8" s="18" t="s">
        <v>52</v>
      </c>
    </row>
    <row r="9" spans="1:16" ht="15.75" x14ac:dyDescent="0.25">
      <c r="A9" s="8">
        <v>4</v>
      </c>
      <c r="B9" s="9" t="s">
        <v>25</v>
      </c>
      <c r="C9" s="19" t="s">
        <v>49</v>
      </c>
      <c r="D9" s="10">
        <v>11506</v>
      </c>
      <c r="E9" s="11" t="str">
        <f>VLOOKUP(D:D,'[1]Production Plan '!$B$7:$C$426,2,0)</f>
        <v>2 Inch Dia UPVC Thread Pipe</v>
      </c>
      <c r="F9" s="12" t="str">
        <f>VLOOKUP(D9,'[2]Production Plan '!$B$7:$G$398,6,0)</f>
        <v>Green</v>
      </c>
      <c r="G9" s="13">
        <v>140</v>
      </c>
      <c r="H9" s="14">
        <f>VLOOKUP(D:D,'[1]Production Plan '!$B:$F,5,0)</f>
        <v>3.9</v>
      </c>
      <c r="I9" s="39">
        <v>18</v>
      </c>
      <c r="J9" s="41">
        <f t="shared" si="0"/>
        <v>3.1914893617021274E-2</v>
      </c>
      <c r="K9" s="9">
        <f t="shared" si="1"/>
        <v>564</v>
      </c>
      <c r="L9" s="15" t="str">
        <f>VLOOKUP(D:D,[3]Sheet1!$A:$G,7,0)</f>
        <v>Thread-Green</v>
      </c>
      <c r="M9" s="45"/>
      <c r="N9" s="35">
        <v>12</v>
      </c>
      <c r="O9" s="35">
        <f>12-N9</f>
        <v>0</v>
      </c>
      <c r="P9" s="37"/>
    </row>
    <row r="10" spans="1:16" ht="15.75" x14ac:dyDescent="0.25">
      <c r="A10" s="8">
        <v>5</v>
      </c>
      <c r="B10" s="9" t="s">
        <v>25</v>
      </c>
      <c r="C10" s="19" t="s">
        <v>21</v>
      </c>
      <c r="D10" s="10">
        <v>11505</v>
      </c>
      <c r="E10" s="11" t="str">
        <f>VLOOKUP(D:D,'[1]Production Plan '!$B$7:$C$426,2,0)</f>
        <v>1.5 Inch Dia UPVC Thread Pipe</v>
      </c>
      <c r="F10" s="12" t="str">
        <f>VLOOKUP(D10,'[2]Production Plan '!$B$7:$G$398,6,0)</f>
        <v>Green</v>
      </c>
      <c r="G10" s="13">
        <v>580</v>
      </c>
      <c r="H10" s="14">
        <f>VLOOKUP(D:D,'[1]Production Plan '!$B:$F,5,0)</f>
        <v>2.9</v>
      </c>
      <c r="I10" s="40"/>
      <c r="J10" s="42"/>
      <c r="K10" s="9">
        <f t="shared" si="1"/>
        <v>1682</v>
      </c>
      <c r="L10" s="15" t="str">
        <f>VLOOKUP(D:D,[3]Sheet1!$A:$G,7,0)</f>
        <v>Thread-Green</v>
      </c>
      <c r="M10" s="45"/>
      <c r="N10" s="36"/>
      <c r="O10" s="36"/>
      <c r="P10" s="38"/>
    </row>
    <row r="11" spans="1:16" ht="47.25" x14ac:dyDescent="0.25">
      <c r="A11" s="8">
        <v>6</v>
      </c>
      <c r="B11" s="22" t="s">
        <v>26</v>
      </c>
      <c r="C11" s="9" t="s">
        <v>29</v>
      </c>
      <c r="D11" s="10">
        <v>13359</v>
      </c>
      <c r="E11" s="11" t="str">
        <f>VLOOKUP(D:D,'[1]Production Plan '!$B$7:$C$426,2,0)</f>
        <v>uPVC Pipe 1.5 Inch x 15 Ft Class-Economy (S)</v>
      </c>
      <c r="F11" s="12" t="str">
        <f>VLOOKUP(D11,'[2]Production Plan '!$B$7:$G$398,6,0)</f>
        <v>White</v>
      </c>
      <c r="G11" s="13">
        <v>470</v>
      </c>
      <c r="H11" s="14">
        <f>VLOOKUP(D:D,'[1]Production Plan '!$B:$F,5,0)</f>
        <v>1.72</v>
      </c>
      <c r="I11" s="13">
        <v>145</v>
      </c>
      <c r="J11" s="16">
        <f t="shared" si="0"/>
        <v>0.15208726662471156</v>
      </c>
      <c r="K11" s="9">
        <f t="shared" si="1"/>
        <v>953.4</v>
      </c>
      <c r="L11" s="15" t="str">
        <f>VLOOKUP(D:D,[3]Sheet1!$A:$G,7,0)</f>
        <v>Special-White</v>
      </c>
      <c r="M11" s="45"/>
      <c r="N11" s="17">
        <v>11</v>
      </c>
      <c r="O11" s="17">
        <f>12-N11</f>
        <v>1</v>
      </c>
      <c r="P11" s="18" t="s">
        <v>175</v>
      </c>
    </row>
    <row r="12" spans="1:16" ht="15.75" x14ac:dyDescent="0.25">
      <c r="A12" s="8">
        <v>7</v>
      </c>
      <c r="B12" s="22" t="s">
        <v>28</v>
      </c>
      <c r="C12" s="20" t="s">
        <v>21</v>
      </c>
      <c r="D12" s="10">
        <v>11303</v>
      </c>
      <c r="E12" s="11" t="str">
        <f>VLOOKUP(D:D,'[1]Production Plan '!$B$7:$C$426,2,0)</f>
        <v>50mm Dia UPVC Pipe Class-ISO</v>
      </c>
      <c r="F12" s="12" t="str">
        <f>VLOOKUP(D12,'[2]Production Plan '!$B$7:$G$398,6,0)</f>
        <v>White</v>
      </c>
      <c r="G12" s="61">
        <v>490</v>
      </c>
      <c r="H12" s="14">
        <f>VLOOKUP(D:D,'[1]Production Plan '!$B:$F,5,0)</f>
        <v>2.2000000000000002</v>
      </c>
      <c r="I12" s="13">
        <v>54</v>
      </c>
      <c r="J12" s="16">
        <f t="shared" si="0"/>
        <v>4.7703180212014133E-2</v>
      </c>
      <c r="K12" s="9">
        <f t="shared" si="1"/>
        <v>1132</v>
      </c>
      <c r="L12" s="15" t="str">
        <f>VLOOKUP(D:D,[3]Sheet1!$A:$G,7,0)</f>
        <v>SWR-White</v>
      </c>
      <c r="M12" s="45"/>
      <c r="N12" s="17">
        <v>12</v>
      </c>
      <c r="O12" s="17">
        <f t="shared" ref="O12:O16" si="3">12-N12</f>
        <v>0</v>
      </c>
      <c r="P12" s="18"/>
    </row>
    <row r="13" spans="1:16" ht="94.5" x14ac:dyDescent="0.25">
      <c r="A13" s="8">
        <v>8</v>
      </c>
      <c r="B13" s="9" t="s">
        <v>30</v>
      </c>
      <c r="C13" s="9" t="s">
        <v>50</v>
      </c>
      <c r="D13" s="10">
        <v>11309</v>
      </c>
      <c r="E13" s="11" t="str">
        <f>VLOOKUP(D:D,'[1]Production Plan '!$B$7:$C$426,2,0)</f>
        <v>110mm Dia UPVC Pipe ISO-2</v>
      </c>
      <c r="F13" s="12" t="str">
        <f>VLOOKUP(D13,'[2]Production Plan '!$B$7:$G$398,6,0)</f>
        <v>White</v>
      </c>
      <c r="G13" s="13">
        <v>156</v>
      </c>
      <c r="H13" s="14">
        <f>VLOOKUP(D:D,'[1]Production Plan '!$B:$F,5,0)</f>
        <v>11</v>
      </c>
      <c r="I13" s="13">
        <v>152</v>
      </c>
      <c r="J13" s="16">
        <f t="shared" si="0"/>
        <v>8.137044967880086E-2</v>
      </c>
      <c r="K13" s="9">
        <f t="shared" si="1"/>
        <v>1868</v>
      </c>
      <c r="L13" s="15" t="str">
        <f>VLOOKUP(D:D,[3]Sheet1!$A:$G,7,0)</f>
        <v>SWR-White</v>
      </c>
      <c r="M13" s="45"/>
      <c r="N13" s="17">
        <v>8</v>
      </c>
      <c r="O13" s="17">
        <f t="shared" si="3"/>
        <v>4</v>
      </c>
      <c r="P13" s="18" t="s">
        <v>176</v>
      </c>
    </row>
    <row r="14" spans="1:16" ht="31.5" x14ac:dyDescent="0.25">
      <c r="A14" s="8">
        <v>9</v>
      </c>
      <c r="B14" s="9" t="s">
        <v>32</v>
      </c>
      <c r="C14" s="9"/>
      <c r="D14" s="10">
        <v>11335</v>
      </c>
      <c r="E14" s="11" t="str">
        <f>VLOOKUP(D:D,'[1]Production Plan '!$B$7:$C$426,2,0)</f>
        <v>160mm Dia Upvc PN-8 Pipe</v>
      </c>
      <c r="F14" s="12" t="str">
        <f>VLOOKUP(D14,'[2]Production Plan '!$B$7:$G$398,6,0)</f>
        <v>White</v>
      </c>
      <c r="G14" s="13">
        <v>0</v>
      </c>
      <c r="H14" s="14">
        <f>VLOOKUP(D:D,'[1]Production Plan '!$B:$F,5,0)</f>
        <v>26.6</v>
      </c>
      <c r="I14" s="13"/>
      <c r="J14" s="16" t="e">
        <f t="shared" si="0"/>
        <v>#DIV/0!</v>
      </c>
      <c r="K14" s="9">
        <f t="shared" si="1"/>
        <v>0</v>
      </c>
      <c r="L14" s="15" t="str">
        <f>VLOOKUP(D:D,[3]Sheet1!$A:$G,7,0)</f>
        <v>STD-White</v>
      </c>
      <c r="M14" s="45"/>
      <c r="N14" s="17">
        <v>0</v>
      </c>
      <c r="O14" s="17">
        <f t="shared" si="3"/>
        <v>12</v>
      </c>
      <c r="P14" s="18" t="s">
        <v>52</v>
      </c>
    </row>
    <row r="15" spans="1:16" ht="31.5" x14ac:dyDescent="0.25">
      <c r="A15" s="8">
        <v>10</v>
      </c>
      <c r="B15" s="9" t="s">
        <v>33</v>
      </c>
      <c r="C15" s="20"/>
      <c r="D15" s="10">
        <v>11325</v>
      </c>
      <c r="E15" s="11" t="str">
        <f>VLOOKUP(D:D,'[1]Production Plan '!$B$7:$C$426,2,0)</f>
        <v>110 mm Dia UPVC Pipe SWR-3</v>
      </c>
      <c r="F15" s="12" t="str">
        <f>VLOOKUP(D15,'[2]Production Plan '!$B$7:$G$398,6,0)</f>
        <v>White</v>
      </c>
      <c r="G15" s="13">
        <v>0</v>
      </c>
      <c r="H15" s="14">
        <f>VLOOKUP(D:D,'[1]Production Plan '!$B:$F,5,0)</f>
        <v>12.9</v>
      </c>
      <c r="I15" s="13"/>
      <c r="J15" s="16" t="e">
        <f t="shared" si="0"/>
        <v>#DIV/0!</v>
      </c>
      <c r="K15" s="9">
        <f t="shared" si="1"/>
        <v>0</v>
      </c>
      <c r="L15" s="15" t="str">
        <f>VLOOKUP(D:D,[3]Sheet1!$A:$G,7,0)</f>
        <v>SWR-White</v>
      </c>
      <c r="M15" s="45"/>
      <c r="N15" s="17">
        <v>0</v>
      </c>
      <c r="O15" s="17">
        <f t="shared" si="3"/>
        <v>12</v>
      </c>
      <c r="P15" s="18" t="s">
        <v>52</v>
      </c>
    </row>
    <row r="16" spans="1:16" ht="78.75" x14ac:dyDescent="0.25">
      <c r="A16" s="8">
        <v>11</v>
      </c>
      <c r="B16" s="9" t="s">
        <v>34</v>
      </c>
      <c r="C16" s="20" t="s">
        <v>177</v>
      </c>
      <c r="D16" s="10">
        <v>11502</v>
      </c>
      <c r="E16" s="11" t="str">
        <f>VLOOKUP(D:D,'[1]Production Plan '!$B$7:$C$426,2,0)</f>
        <v>0.75 Inch Dia UPVC Thread Pipe</v>
      </c>
      <c r="F16" s="12" t="str">
        <f>VLOOKUP(D16,'[2]Production Plan '!$B$7:$G$398,6,0)</f>
        <v>Green</v>
      </c>
      <c r="G16" s="13">
        <v>1060</v>
      </c>
      <c r="H16" s="14">
        <f>VLOOKUP(D:D,'[1]Production Plan '!$B:$F,5,0)</f>
        <v>1.24</v>
      </c>
      <c r="I16" s="13">
        <v>40</v>
      </c>
      <c r="J16" s="16">
        <f t="shared" si="0"/>
        <v>2.9533372711163613E-2</v>
      </c>
      <c r="K16" s="9">
        <f t="shared" si="1"/>
        <v>1354.4</v>
      </c>
      <c r="L16" s="15" t="str">
        <f>VLOOKUP(D:D,[3]Sheet1!$A:$G,7,0)</f>
        <v>Thread-Green</v>
      </c>
      <c r="M16" s="45"/>
      <c r="N16" s="17">
        <v>7</v>
      </c>
      <c r="O16" s="17">
        <f t="shared" si="3"/>
        <v>5</v>
      </c>
      <c r="P16" s="18" t="s">
        <v>178</v>
      </c>
    </row>
    <row r="17" spans="1:16" ht="15.75" x14ac:dyDescent="0.25">
      <c r="A17" s="8">
        <v>12</v>
      </c>
      <c r="B17" s="9" t="s">
        <v>35</v>
      </c>
      <c r="C17" s="9" t="s">
        <v>174</v>
      </c>
      <c r="D17" s="10">
        <v>11391</v>
      </c>
      <c r="E17" s="11" t="str">
        <f>VLOOKUP(D:D,'[1]Production Plan '!$B$7:$C$426,2,0)</f>
        <v>4 Inch Dia UPVC Pipe Class-D SPL</v>
      </c>
      <c r="F17" s="12" t="str">
        <f>VLOOKUP(D17,'[2]Production Plan '!$B$7:$G$398,6,0)</f>
        <v>Grey</v>
      </c>
      <c r="G17" s="13">
        <v>126</v>
      </c>
      <c r="H17" s="14">
        <f>VLOOKUP(D:D,'[1]Production Plan '!$B:$F,5,0)</f>
        <v>20</v>
      </c>
      <c r="I17" s="39">
        <v>107</v>
      </c>
      <c r="J17" s="41">
        <f t="shared" si="0"/>
        <v>4.0730871716787208E-2</v>
      </c>
      <c r="K17" s="9">
        <f t="shared" si="1"/>
        <v>2627</v>
      </c>
      <c r="L17" s="15" t="str">
        <f>VLOOKUP(D:D,[3]Sheet1!$A:$G,7,0)</f>
        <v>Three Layer</v>
      </c>
      <c r="M17" s="45"/>
      <c r="N17" s="35">
        <v>12</v>
      </c>
      <c r="O17" s="35">
        <f>12-N17</f>
        <v>0</v>
      </c>
      <c r="P17" s="37"/>
    </row>
    <row r="18" spans="1:16" ht="15.75" x14ac:dyDescent="0.25">
      <c r="A18" s="8">
        <v>13</v>
      </c>
      <c r="B18" s="9" t="s">
        <v>35</v>
      </c>
      <c r="C18" s="9" t="s">
        <v>21</v>
      </c>
      <c r="D18" s="10">
        <v>11399</v>
      </c>
      <c r="E18" s="11" t="str">
        <f>VLOOKUP(D:D,'[1]Production Plan '!$B$7:$C$426,2,0)</f>
        <v>4 Inch Dia Upvc Pipe Class -D SPL Filter</v>
      </c>
      <c r="F18" s="12" t="str">
        <f>VLOOKUP(D18,'[2]Production Plan '!$B$7:$G$398,6,0)</f>
        <v>Grey</v>
      </c>
      <c r="G18" s="13">
        <v>79</v>
      </c>
      <c r="H18" s="14">
        <f>VLOOKUP(D:D,'[1]Production Plan '!$B:$F,5,0)</f>
        <v>10</v>
      </c>
      <c r="I18" s="40"/>
      <c r="J18" s="42"/>
      <c r="K18" s="9">
        <f t="shared" si="1"/>
        <v>790</v>
      </c>
      <c r="L18" s="15" t="str">
        <f>VLOOKUP(D:D,[3]Sheet1!$A:$G,7,0)</f>
        <v xml:space="preserve">Three Layer </v>
      </c>
      <c r="M18" s="45"/>
      <c r="N18" s="36"/>
      <c r="O18" s="36"/>
      <c r="P18" s="38"/>
    </row>
    <row r="19" spans="1:16" ht="15.75" x14ac:dyDescent="0.25">
      <c r="A19" s="8">
        <v>14</v>
      </c>
      <c r="B19" s="9" t="s">
        <v>36</v>
      </c>
      <c r="C19" s="9" t="s">
        <v>89</v>
      </c>
      <c r="D19" s="10">
        <v>13430</v>
      </c>
      <c r="E19" s="11" t="str">
        <f>VLOOKUP(D:D,'[1]Production Plan '!$B$7:$C$426,2,0)</f>
        <v>5 Inch Dia Upvc Pipe Class-E 1</v>
      </c>
      <c r="F19" s="12" t="str">
        <f>VLOOKUP(D19,'[2]Production Plan '!$B$7:$G$398,6,0)</f>
        <v>Grey</v>
      </c>
      <c r="G19" s="13">
        <v>56</v>
      </c>
      <c r="H19" s="14">
        <f>VLOOKUP(D:D,'[1]Production Plan '!$B:$F,5,0)</f>
        <v>37.4</v>
      </c>
      <c r="I19" s="39">
        <v>100</v>
      </c>
      <c r="J19" s="41">
        <f t="shared" si="0"/>
        <v>4.5570543200874954E-2</v>
      </c>
      <c r="K19" s="9">
        <f t="shared" si="1"/>
        <v>2194.4</v>
      </c>
      <c r="L19" s="15" t="s">
        <v>179</v>
      </c>
      <c r="M19" s="45"/>
      <c r="N19" s="35">
        <v>12</v>
      </c>
      <c r="O19" s="35">
        <f>12-N19</f>
        <v>0</v>
      </c>
      <c r="P19" s="37"/>
    </row>
    <row r="20" spans="1:16" ht="15.75" x14ac:dyDescent="0.25">
      <c r="A20" s="8">
        <v>15</v>
      </c>
      <c r="B20" s="9" t="s">
        <v>36</v>
      </c>
      <c r="C20" s="9" t="s">
        <v>21</v>
      </c>
      <c r="D20" s="10">
        <v>13431</v>
      </c>
      <c r="E20" s="11" t="str">
        <f>VLOOKUP(D:D,'[1]Production Plan '!$B$7:$C$426,2,0)</f>
        <v>5 Inch Upvc Pipe (Filter) Class-E 1</v>
      </c>
      <c r="F20" s="12" t="str">
        <f>VLOOKUP(D20,'[2]Production Plan '!$B$7:$G$398,6,0)</f>
        <v>Grey</v>
      </c>
      <c r="G20" s="13">
        <v>10</v>
      </c>
      <c r="H20" s="14">
        <f>VLOOKUP(D:D,'[1]Production Plan '!$B:$F,5,0)</f>
        <v>18.7</v>
      </c>
      <c r="I20" s="40"/>
      <c r="J20" s="42"/>
      <c r="K20" s="9">
        <f t="shared" si="1"/>
        <v>187</v>
      </c>
      <c r="L20" s="15" t="s">
        <v>179</v>
      </c>
      <c r="M20" s="45"/>
      <c r="N20" s="36"/>
      <c r="O20" s="36"/>
      <c r="P20" s="38"/>
    </row>
    <row r="21" spans="1:16" ht="15.75" x14ac:dyDescent="0.25">
      <c r="A21" s="8">
        <v>16</v>
      </c>
      <c r="B21" s="9" t="s">
        <v>38</v>
      </c>
      <c r="C21" s="9" t="s">
        <v>21</v>
      </c>
      <c r="D21" s="10">
        <v>12934</v>
      </c>
      <c r="E21" s="11" t="str">
        <f>VLOOKUP(D:D,'[1]Production Plan '!$B$7:$C$426,2,0)</f>
        <v>110 mm Dia Upvc Pipe SWR-3 SPL</v>
      </c>
      <c r="F21" s="12" t="str">
        <f>VLOOKUP(D21,'[2]Production Plan '!$B$7:$G$398,6,0)</f>
        <v>White</v>
      </c>
      <c r="G21" s="13">
        <v>40</v>
      </c>
      <c r="H21" s="14">
        <f>VLOOKUP(D:D,'[1]Production Plan '!$B:$F,5,0)</f>
        <v>12.7</v>
      </c>
      <c r="I21" s="39">
        <v>223</v>
      </c>
      <c r="J21" s="41">
        <f t="shared" si="0"/>
        <v>0.30506155950752395</v>
      </c>
      <c r="K21" s="9">
        <f t="shared" si="1"/>
        <v>731</v>
      </c>
      <c r="L21" s="15" t="str">
        <f>VLOOKUP(D:D,[3]Sheet1!$A:$G,7,0)</f>
        <v>SWR-White</v>
      </c>
      <c r="M21" s="45"/>
      <c r="N21" s="35">
        <v>6</v>
      </c>
      <c r="O21" s="35">
        <f>12-N21</f>
        <v>6</v>
      </c>
      <c r="P21" s="37" t="s">
        <v>180</v>
      </c>
    </row>
    <row r="22" spans="1:16" ht="15.75" x14ac:dyDescent="0.25">
      <c r="A22" s="8">
        <v>17</v>
      </c>
      <c r="B22" s="9" t="s">
        <v>38</v>
      </c>
      <c r="C22" s="9" t="s">
        <v>21</v>
      </c>
      <c r="D22" s="10">
        <v>11149</v>
      </c>
      <c r="E22" s="11" t="str">
        <f>VLOOKUP(D:D,'[1]Production Plan '!$B$7:$C$426,2,0)</f>
        <v>4 Inch Dia UPVC Pipe Class-D</v>
      </c>
      <c r="F22" s="12" t="str">
        <f>VLOOKUP(D22,'[2]Production Plan '!$B$7:$G$398,6,0)</f>
        <v>Grey</v>
      </c>
      <c r="G22" s="13">
        <v>28</v>
      </c>
      <c r="H22" s="14">
        <f>VLOOKUP(D:D,'[1]Production Plan '!$B:$F,5,0)</f>
        <v>19.600000000000001</v>
      </c>
      <c r="I22" s="58"/>
      <c r="J22" s="49"/>
      <c r="K22" s="9">
        <f t="shared" si="1"/>
        <v>548.80000000000007</v>
      </c>
      <c r="L22" s="15" t="str">
        <f>VLOOKUP(D:D,[3]Sheet1!$A:$G,7,0)</f>
        <v>SBS-Grey</v>
      </c>
      <c r="M22" s="45"/>
      <c r="N22" s="50"/>
      <c r="O22" s="50"/>
      <c r="P22" s="51"/>
    </row>
    <row r="23" spans="1:16" ht="15.75" x14ac:dyDescent="0.25">
      <c r="A23" s="8">
        <v>18</v>
      </c>
      <c r="B23" s="9" t="s">
        <v>38</v>
      </c>
      <c r="C23" s="9" t="s">
        <v>21</v>
      </c>
      <c r="D23" s="10">
        <v>11150</v>
      </c>
      <c r="E23" s="11" t="str">
        <f>VLOOKUP(D:D,'[1]Production Plan '!$B$7:$C$426,2,0)</f>
        <v>4 Inch Dia UPVC Filter Class - D</v>
      </c>
      <c r="F23" s="12" t="str">
        <f>VLOOKUP(D23,'[2]Production Plan '!$B$7:$G$398,6,0)</f>
        <v>Grey</v>
      </c>
      <c r="G23" s="13">
        <v>14</v>
      </c>
      <c r="H23" s="14">
        <f>VLOOKUP(D:D,'[1]Production Plan '!$B:$F,5,0)</f>
        <v>9.8000000000000007</v>
      </c>
      <c r="I23" s="40"/>
      <c r="J23" s="42"/>
      <c r="K23" s="9">
        <f t="shared" si="1"/>
        <v>137.20000000000002</v>
      </c>
      <c r="L23" s="15" t="str">
        <f>VLOOKUP(D:D,[3]Sheet1!$A:$G,7,0)</f>
        <v>SBS-Grey</v>
      </c>
      <c r="M23" s="45"/>
      <c r="N23" s="36"/>
      <c r="O23" s="36"/>
      <c r="P23" s="38"/>
    </row>
    <row r="24" spans="1:16" ht="31.5" x14ac:dyDescent="0.25">
      <c r="A24" s="8">
        <v>19</v>
      </c>
      <c r="B24" s="9" t="s">
        <v>39</v>
      </c>
      <c r="C24" s="9" t="s">
        <v>164</v>
      </c>
      <c r="D24" s="10">
        <v>12537</v>
      </c>
      <c r="E24" s="11" t="str">
        <f>VLOOKUP(D:D,'[1]Production Plan '!$B$7:$C$426,2,0)</f>
        <v>80mm Dia Upvc Pipe SWR-Special (White)</v>
      </c>
      <c r="F24" s="12" t="str">
        <f>VLOOKUP(D24,'[2]Production Plan '!$B$7:$G$398,6,0)</f>
        <v>White</v>
      </c>
      <c r="G24" s="13">
        <v>291</v>
      </c>
      <c r="H24" s="14">
        <f>VLOOKUP(D:D,'[1]Production Plan '!$B:$F,5,0)</f>
        <v>5.4</v>
      </c>
      <c r="I24" s="13">
        <v>194</v>
      </c>
      <c r="J24" s="16">
        <f t="shared" si="0"/>
        <v>0.10989010989010989</v>
      </c>
      <c r="K24" s="9">
        <f t="shared" si="1"/>
        <v>1765.4</v>
      </c>
      <c r="L24" s="15" t="str">
        <f>VLOOKUP(D:D,[3]Sheet1!$A:$G,7,0)</f>
        <v>SWR-White</v>
      </c>
      <c r="M24" s="45"/>
      <c r="N24" s="17">
        <v>10</v>
      </c>
      <c r="O24" s="17">
        <f>12-N24</f>
        <v>2</v>
      </c>
      <c r="P24" s="18" t="s">
        <v>181</v>
      </c>
    </row>
    <row r="25" spans="1:16" ht="63" x14ac:dyDescent="0.25">
      <c r="A25" s="8">
        <v>20</v>
      </c>
      <c r="B25" s="9" t="s">
        <v>40</v>
      </c>
      <c r="C25" s="9" t="s">
        <v>21</v>
      </c>
      <c r="D25" s="10">
        <v>13346</v>
      </c>
      <c r="E25" s="11" t="str">
        <f>VLOOKUP(D:D,'[1]Production Plan '!$B$7:$C$426,2,0)</f>
        <v>1.5 Inch Dia Upvc Pipe Class D-SP ( Grey)(S)</v>
      </c>
      <c r="F25" s="12" t="str">
        <f>VLOOKUP(D25,'[2]Production Plan '!$B$7:$G$398,6,0)</f>
        <v>Grey</v>
      </c>
      <c r="G25" s="13">
        <v>90</v>
      </c>
      <c r="H25" s="14">
        <f>VLOOKUP(D:D,'[1]Production Plan '!$B:$F,5,0)</f>
        <v>2.75</v>
      </c>
      <c r="I25" s="13">
        <v>167</v>
      </c>
      <c r="J25" s="16">
        <f t="shared" si="0"/>
        <v>0.40289505428226779</v>
      </c>
      <c r="K25" s="9">
        <f t="shared" si="1"/>
        <v>414.5</v>
      </c>
      <c r="L25" s="15" t="str">
        <f>VLOOKUP(D:D,[3]Sheet1!$A:$G,7,0)</f>
        <v>Economy- Grey</v>
      </c>
      <c r="M25" s="45"/>
      <c r="N25" s="17">
        <v>4</v>
      </c>
      <c r="O25" s="17">
        <f t="shared" ref="O25:O28" si="4">12-N25</f>
        <v>8</v>
      </c>
      <c r="P25" s="18" t="s">
        <v>182</v>
      </c>
    </row>
    <row r="26" spans="1:16" ht="15.75" x14ac:dyDescent="0.25">
      <c r="A26" s="8">
        <v>21</v>
      </c>
      <c r="B26" s="9" t="s">
        <v>41</v>
      </c>
      <c r="C26" s="9" t="s">
        <v>177</v>
      </c>
      <c r="D26" s="10">
        <v>11503</v>
      </c>
      <c r="E26" s="11" t="str">
        <f>VLOOKUP(D:D,'[1]Production Plan '!$B$7:$C$426,2,0)</f>
        <v>1 Inch Dia UPVC Thread Pipe</v>
      </c>
      <c r="F26" s="12" t="str">
        <f>VLOOKUP(D26,'[2]Production Plan '!$B$7:$G$398,6,0)</f>
        <v>Green</v>
      </c>
      <c r="G26" s="13">
        <v>1120</v>
      </c>
      <c r="H26" s="14">
        <f>VLOOKUP(D:D,'[1]Production Plan '!$B:$F,5,0)</f>
        <v>1.65</v>
      </c>
      <c r="I26" s="13"/>
      <c r="J26" s="16">
        <f t="shared" si="0"/>
        <v>0</v>
      </c>
      <c r="K26" s="9">
        <f t="shared" si="1"/>
        <v>1848</v>
      </c>
      <c r="L26" s="15" t="str">
        <f>VLOOKUP(D:D,[3]Sheet1!$A:$G,7,0)</f>
        <v>Thread-Green</v>
      </c>
      <c r="M26" s="45"/>
      <c r="N26" s="17">
        <v>12</v>
      </c>
      <c r="O26" s="17">
        <f t="shared" si="4"/>
        <v>0</v>
      </c>
      <c r="P26" s="18"/>
    </row>
    <row r="27" spans="1:16" ht="31.5" x14ac:dyDescent="0.25">
      <c r="A27" s="8">
        <v>22</v>
      </c>
      <c r="B27" s="9" t="s">
        <v>42</v>
      </c>
      <c r="C27" s="9" t="s">
        <v>166</v>
      </c>
      <c r="D27" s="10">
        <v>12569</v>
      </c>
      <c r="E27" s="11" t="str">
        <f>VLOOKUP(D:D,'[1]Production Plan '!$B$7:$C$426,2,0)</f>
        <v>0.75 Inc HDPE Coil Pipe-Green</v>
      </c>
      <c r="F27" s="12" t="str">
        <f>VLOOKUP(D27,'[2]Production Plan '!$B$7:$G$398,6,0)</f>
        <v>Green</v>
      </c>
      <c r="G27" s="13">
        <v>32</v>
      </c>
      <c r="H27" s="14">
        <f>VLOOKUP(D:D,'[1]Production Plan '!$B:$F,5,0)</f>
        <v>24.5</v>
      </c>
      <c r="I27" s="13">
        <v>50</v>
      </c>
      <c r="J27" s="16">
        <f t="shared" si="0"/>
        <v>5.9952038369304558E-2</v>
      </c>
      <c r="K27" s="9">
        <f t="shared" si="1"/>
        <v>834</v>
      </c>
      <c r="L27" s="15" t="str">
        <f>VLOOKUP(D:D,[3]Sheet1!$A:$G,7,0)</f>
        <v>HDPE D/L Green</v>
      </c>
      <c r="M27" s="45"/>
      <c r="N27" s="17">
        <v>11</v>
      </c>
      <c r="O27" s="17">
        <f t="shared" si="4"/>
        <v>1</v>
      </c>
      <c r="P27" s="18" t="s">
        <v>183</v>
      </c>
    </row>
    <row r="28" spans="1:16" ht="31.5" x14ac:dyDescent="0.25">
      <c r="A28" s="8">
        <v>23</v>
      </c>
      <c r="B28" s="9" t="s">
        <v>43</v>
      </c>
      <c r="C28" s="9" t="s">
        <v>51</v>
      </c>
      <c r="D28" s="10">
        <v>11317</v>
      </c>
      <c r="E28" s="11" t="str">
        <f>VLOOKUP(D:D,'[1]Production Plan '!$B$7:$C$426,2,0)</f>
        <v>110mm Dia Upvc Pipe SWR-1 Special (White)</v>
      </c>
      <c r="F28" s="12" t="str">
        <f>VLOOKUP(D28,'[2]Production Plan '!$B$7:$G$398,6,0)</f>
        <v>White</v>
      </c>
      <c r="G28" s="13">
        <v>509</v>
      </c>
      <c r="H28" s="14">
        <f>VLOOKUP(D:D,'[1]Production Plan '!$B:$F,5,0)</f>
        <v>10</v>
      </c>
      <c r="I28" s="13">
        <v>130</v>
      </c>
      <c r="J28" s="16">
        <f t="shared" si="0"/>
        <v>2.4904214559386972E-2</v>
      </c>
      <c r="K28" s="9">
        <f t="shared" si="1"/>
        <v>5220</v>
      </c>
      <c r="L28" s="15" t="str">
        <f>VLOOKUP(D:D,[3]Sheet1!$A:$G,7,0)</f>
        <v>SWR-White</v>
      </c>
      <c r="M28" s="45"/>
      <c r="N28" s="17">
        <v>11</v>
      </c>
      <c r="O28" s="17">
        <f t="shared" si="4"/>
        <v>1</v>
      </c>
      <c r="P28" s="18" t="s">
        <v>181</v>
      </c>
    </row>
    <row r="29" spans="1:16" ht="15.75" x14ac:dyDescent="0.25">
      <c r="A29" s="8">
        <v>24</v>
      </c>
      <c r="B29" s="9" t="s">
        <v>44</v>
      </c>
      <c r="C29" s="9" t="s">
        <v>166</v>
      </c>
      <c r="D29" s="10">
        <v>13387</v>
      </c>
      <c r="E29" s="11" t="str">
        <f>VLOOKUP(D:D,'[1]Production Plan '!$B$7:$C$426,2,0)</f>
        <v>CPVC Pipe 3/4''(20mm)X3M-SDR-13.5</v>
      </c>
      <c r="F29" s="12" t="str">
        <f>VLOOKUP(D29,'[2]Production Plan '!$B$7:$G$398,6,0)</f>
        <v>Off White</v>
      </c>
      <c r="G29" s="13">
        <v>280</v>
      </c>
      <c r="H29" s="14">
        <f>VLOOKUP(D:D,'[1]Production Plan '!$B:$F,5,0)</f>
        <v>0.55000000000000004</v>
      </c>
      <c r="I29" s="39">
        <v>27</v>
      </c>
      <c r="J29" s="41">
        <f t="shared" si="0"/>
        <v>0.14917127071823205</v>
      </c>
      <c r="K29" s="9">
        <f t="shared" si="1"/>
        <v>181</v>
      </c>
      <c r="L29" s="15" t="str">
        <f>VLOOKUP(D:D,[3]Sheet1!$A:$G,7,0)</f>
        <v>Com..</v>
      </c>
      <c r="M29" s="45"/>
      <c r="N29" s="35">
        <v>7</v>
      </c>
      <c r="O29" s="35">
        <f>12-N29</f>
        <v>5</v>
      </c>
      <c r="P29" s="37" t="s">
        <v>55</v>
      </c>
    </row>
    <row r="30" spans="1:16" ht="15.75" x14ac:dyDescent="0.25">
      <c r="A30" s="8">
        <v>25</v>
      </c>
      <c r="B30" s="9" t="s">
        <v>44</v>
      </c>
      <c r="C30" s="9" t="s">
        <v>21</v>
      </c>
      <c r="D30" s="10">
        <v>13390</v>
      </c>
      <c r="E30" s="11" t="str">
        <f>VLOOKUP(D:D,'[1]Production Plan '!$B$7:$C$426,2,0)</f>
        <v>CPVC Pipe 1.5''(40mm)X3M-SDR-13.5</v>
      </c>
      <c r="F30" s="12" t="str">
        <f>VLOOKUP(D30,'[2]Production Plan '!$B$7:$G$398,6,0)</f>
        <v>Off White</v>
      </c>
      <c r="G30" s="13">
        <v>40</v>
      </c>
      <c r="H30" s="14">
        <f>VLOOKUP(D:D,'[1]Production Plan '!$B:$F,5,0)</f>
        <v>1.8</v>
      </c>
      <c r="I30" s="40"/>
      <c r="J30" s="42"/>
      <c r="K30" s="9">
        <f t="shared" si="1"/>
        <v>72</v>
      </c>
      <c r="L30" s="15" t="str">
        <f>VLOOKUP(D:D,[3]Sheet1!$A:$G,7,0)</f>
        <v>Com..</v>
      </c>
      <c r="M30" s="45"/>
      <c r="N30" s="36"/>
      <c r="O30" s="36"/>
      <c r="P30" s="38"/>
    </row>
    <row r="31" spans="1:16" ht="15.75" x14ac:dyDescent="0.25">
      <c r="A31" s="8"/>
      <c r="B31" s="9"/>
      <c r="C31" s="9"/>
      <c r="D31" s="9"/>
      <c r="E31" s="11"/>
      <c r="F31" s="12"/>
      <c r="G31" s="7"/>
      <c r="H31" s="14"/>
      <c r="I31" s="21">
        <f>SUM(I6:I30)</f>
        <v>1639</v>
      </c>
      <c r="J31" s="21"/>
      <c r="K31" s="21">
        <f>SUM(K6:K30)</f>
        <v>27829</v>
      </c>
      <c r="L31" s="15"/>
      <c r="M31" s="45"/>
      <c r="N31" s="17"/>
      <c r="O31" s="17"/>
      <c r="P31" s="9"/>
    </row>
  </sheetData>
  <mergeCells count="29">
    <mergeCell ref="N29:N30"/>
    <mergeCell ref="O29:O30"/>
    <mergeCell ref="P29:P30"/>
    <mergeCell ref="N19:N20"/>
    <mergeCell ref="O19:O20"/>
    <mergeCell ref="P19:P20"/>
    <mergeCell ref="I21:I23"/>
    <mergeCell ref="J21:J23"/>
    <mergeCell ref="N21:N23"/>
    <mergeCell ref="O21:O23"/>
    <mergeCell ref="P21:P23"/>
    <mergeCell ref="N9:N10"/>
    <mergeCell ref="O9:O10"/>
    <mergeCell ref="P9:P10"/>
    <mergeCell ref="I17:I18"/>
    <mergeCell ref="J17:J18"/>
    <mergeCell ref="N17:N18"/>
    <mergeCell ref="O17:O18"/>
    <mergeCell ref="P17:P18"/>
    <mergeCell ref="F1:J1"/>
    <mergeCell ref="F2:J2"/>
    <mergeCell ref="F3:L3"/>
    <mergeCell ref="M6:M31"/>
    <mergeCell ref="I9:I10"/>
    <mergeCell ref="J9:J10"/>
    <mergeCell ref="I19:I20"/>
    <mergeCell ref="J19:J20"/>
    <mergeCell ref="I29:I30"/>
    <mergeCell ref="J29:J30"/>
  </mergeCells>
  <conditionalFormatting sqref="E31 E6:E28">
    <cfRule type="duplicateValues" dxfId="3" priority="2"/>
  </conditionalFormatting>
  <conditionalFormatting sqref="E29:E30">
    <cfRule type="duplicateValues" dxfId="2" priority="1"/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32"/>
  <sheetViews>
    <sheetView topLeftCell="A25" workbookViewId="0">
      <selection activeCell="K33" sqref="K33"/>
    </sheetView>
  </sheetViews>
  <sheetFormatPr defaultRowHeight="15" x14ac:dyDescent="0.25"/>
  <cols>
    <col min="11" max="11" width="9.5703125" bestFit="1" customWidth="1"/>
  </cols>
  <sheetData>
    <row r="1" spans="1:16" ht="15.75" x14ac:dyDescent="0.25">
      <c r="A1" s="32"/>
      <c r="B1" s="32"/>
      <c r="C1" s="32"/>
      <c r="D1" s="32"/>
      <c r="E1" s="32"/>
      <c r="F1" s="43" t="s">
        <v>0</v>
      </c>
      <c r="G1" s="43"/>
      <c r="H1" s="43"/>
      <c r="I1" s="43"/>
      <c r="J1" s="43"/>
      <c r="K1" s="32"/>
      <c r="L1" s="32"/>
      <c r="M1" s="32"/>
      <c r="N1" s="32"/>
      <c r="O1" s="32"/>
      <c r="P1" s="32"/>
    </row>
    <row r="2" spans="1:16" ht="15.75" x14ac:dyDescent="0.25">
      <c r="A2" s="32"/>
      <c r="B2" s="1"/>
      <c r="C2" s="2"/>
      <c r="D2" s="32"/>
      <c r="E2" s="32"/>
      <c r="F2" s="43" t="s">
        <v>1</v>
      </c>
      <c r="G2" s="43"/>
      <c r="H2" s="43"/>
      <c r="I2" s="43"/>
      <c r="J2" s="43"/>
      <c r="K2" s="32"/>
      <c r="L2" s="32"/>
      <c r="M2" s="32"/>
      <c r="N2" s="3"/>
      <c r="O2" s="32"/>
      <c r="P2" s="32"/>
    </row>
    <row r="3" spans="1:16" ht="15.75" x14ac:dyDescent="0.25">
      <c r="A3" s="32"/>
      <c r="B3" s="32"/>
      <c r="C3" s="32"/>
      <c r="D3" s="32"/>
      <c r="E3" s="32"/>
      <c r="F3" s="44" t="s">
        <v>2</v>
      </c>
      <c r="G3" s="44"/>
      <c r="H3" s="44"/>
      <c r="I3" s="44"/>
      <c r="J3" s="44"/>
      <c r="K3" s="44"/>
      <c r="L3" s="44"/>
      <c r="M3" s="32"/>
      <c r="N3" s="32"/>
      <c r="O3" s="32"/>
      <c r="P3" s="32"/>
    </row>
    <row r="4" spans="1:16" ht="15.75" x14ac:dyDescent="0.25">
      <c r="A4" s="32"/>
      <c r="B4" s="32"/>
      <c r="C4" s="32"/>
      <c r="D4" s="32"/>
      <c r="E4" s="4" t="s">
        <v>184</v>
      </c>
      <c r="F4" s="32"/>
      <c r="G4" s="32"/>
      <c r="H4" s="32"/>
      <c r="I4" s="32"/>
      <c r="J4" s="32"/>
      <c r="K4" s="32"/>
      <c r="L4" s="5"/>
      <c r="M4" s="32"/>
      <c r="N4" s="32"/>
      <c r="O4" s="32"/>
      <c r="P4" s="6"/>
    </row>
    <row r="5" spans="1:16" ht="78.75" x14ac:dyDescent="0.25">
      <c r="A5" s="7" t="s">
        <v>3</v>
      </c>
      <c r="B5" s="7" t="s">
        <v>4</v>
      </c>
      <c r="C5" s="7" t="s">
        <v>5</v>
      </c>
      <c r="D5" s="7" t="s">
        <v>6</v>
      </c>
      <c r="E5" s="7" t="s">
        <v>7</v>
      </c>
      <c r="F5" s="7" t="s">
        <v>8</v>
      </c>
      <c r="G5" s="7" t="s">
        <v>9</v>
      </c>
      <c r="H5" s="7" t="s">
        <v>10</v>
      </c>
      <c r="I5" s="7" t="s">
        <v>11</v>
      </c>
      <c r="J5" s="7" t="s">
        <v>12</v>
      </c>
      <c r="K5" s="7" t="s">
        <v>13</v>
      </c>
      <c r="L5" s="7" t="s">
        <v>14</v>
      </c>
      <c r="M5" s="7" t="s">
        <v>15</v>
      </c>
      <c r="N5" s="7" t="s">
        <v>16</v>
      </c>
      <c r="O5" s="7" t="s">
        <v>17</v>
      </c>
      <c r="P5" s="7" t="s">
        <v>18</v>
      </c>
    </row>
    <row r="6" spans="1:16" ht="31.5" x14ac:dyDescent="0.25">
      <c r="A6" s="8">
        <v>1</v>
      </c>
      <c r="B6" s="9" t="s">
        <v>19</v>
      </c>
      <c r="C6" s="9"/>
      <c r="D6" s="10">
        <v>11141</v>
      </c>
      <c r="E6" s="11" t="str">
        <f>VLOOKUP(D:D,'[1]Production Plan '!$B$7:$C$426,2,0)</f>
        <v>4 Inch Upvc Pipe Star (Gray 20 Ft )</v>
      </c>
      <c r="F6" s="12" t="str">
        <f>VLOOKUP(D6,'[2]Production Plan '!$B$7:$G$398,6,0)</f>
        <v>Grey</v>
      </c>
      <c r="G6" s="13">
        <v>0</v>
      </c>
      <c r="H6" s="14">
        <f>VLOOKUP(D:D,'[1]Production Plan '!$B:$F,5,0)</f>
        <v>12.5</v>
      </c>
      <c r="I6" s="13">
        <v>0</v>
      </c>
      <c r="J6" s="16" t="e">
        <f>I6/(K6)</f>
        <v>#DIV/0!</v>
      </c>
      <c r="K6" s="9">
        <f>G6*H6+I6</f>
        <v>0</v>
      </c>
      <c r="L6" s="15" t="str">
        <f>VLOOKUP(D:D,[3]Sheet1!$A:$G,7,0)</f>
        <v>SWR-Grey</v>
      </c>
      <c r="M6" s="45">
        <f>I32/K32</f>
        <v>0.10842457869728182</v>
      </c>
      <c r="N6" s="17">
        <v>0</v>
      </c>
      <c r="O6" s="17">
        <f>12-N6</f>
        <v>12</v>
      </c>
      <c r="P6" s="18" t="s">
        <v>52</v>
      </c>
    </row>
    <row r="7" spans="1:16" ht="31.5" x14ac:dyDescent="0.25">
      <c r="A7" s="8">
        <v>2</v>
      </c>
      <c r="B7" s="9" t="s">
        <v>22</v>
      </c>
      <c r="C7" s="9" t="s">
        <v>104</v>
      </c>
      <c r="D7" s="10">
        <v>11336</v>
      </c>
      <c r="E7" s="11" t="str">
        <f>VLOOKUP(D:D,'[1]Production Plan '!$B$7:$C$426,2,0)</f>
        <v>160mm Dia UPVC Pipe ISO (R) (Thickness 4.5-4.6 6mm)</v>
      </c>
      <c r="F7" s="12" t="str">
        <f>VLOOKUP(D7,'[2]Production Plan '!$B$7:$G$398,6,0)</f>
        <v>White</v>
      </c>
      <c r="G7" s="13">
        <v>175</v>
      </c>
      <c r="H7" s="14">
        <f>VLOOKUP(D:D,'[1]Production Plan '!$B:$F,5,0)</f>
        <v>25.7</v>
      </c>
      <c r="I7" s="19">
        <v>241</v>
      </c>
      <c r="J7" s="16">
        <f t="shared" ref="J7:J31" si="0">I7/(K7)</f>
        <v>5.0859976785902712E-2</v>
      </c>
      <c r="K7" s="9">
        <f t="shared" ref="K7:K31" si="1">G7*H7+I7</f>
        <v>4738.5</v>
      </c>
      <c r="L7" s="15" t="str">
        <f>VLOOKUP(D:D,[3]Sheet1!$A:$G,7,0)</f>
        <v>SWR-White</v>
      </c>
      <c r="M7" s="45"/>
      <c r="N7" s="17">
        <v>11</v>
      </c>
      <c r="O7" s="17">
        <f t="shared" ref="O7:O8" si="2">12-N7</f>
        <v>1</v>
      </c>
      <c r="P7" s="18" t="s">
        <v>185</v>
      </c>
    </row>
    <row r="8" spans="1:16" ht="31.5" x14ac:dyDescent="0.25">
      <c r="A8" s="8">
        <v>3</v>
      </c>
      <c r="B8" s="9" t="s">
        <v>24</v>
      </c>
      <c r="C8" s="10">
        <v>11105</v>
      </c>
      <c r="D8" s="10">
        <v>11122</v>
      </c>
      <c r="E8" s="11" t="str">
        <f>VLOOKUP(D:D,'[1]Production Plan '!$B$7:$C$426,2,0)</f>
        <v>1.5 Inch Dia Upvc Pipe Class D-SP ( Grey)</v>
      </c>
      <c r="F8" s="12" t="str">
        <f>VLOOKUP(D8,'[2]Production Plan '!$B$7:$G$398,6,0)</f>
        <v>Grey</v>
      </c>
      <c r="G8" s="13">
        <v>0</v>
      </c>
      <c r="H8" s="14">
        <f>VLOOKUP(D:D,'[1]Production Plan '!$B:$F,5,0)</f>
        <v>2.85</v>
      </c>
      <c r="I8" s="13">
        <v>0</v>
      </c>
      <c r="J8" s="16" t="e">
        <f t="shared" si="0"/>
        <v>#DIV/0!</v>
      </c>
      <c r="K8" s="9">
        <f t="shared" si="1"/>
        <v>0</v>
      </c>
      <c r="L8" s="15" t="str">
        <f>VLOOKUP(D:D,[3]Sheet1!$A:$G,7,0)</f>
        <v>Economy- Grey</v>
      </c>
      <c r="M8" s="45"/>
      <c r="N8" s="17">
        <v>0</v>
      </c>
      <c r="O8" s="17">
        <f t="shared" si="2"/>
        <v>12</v>
      </c>
      <c r="P8" s="18" t="s">
        <v>52</v>
      </c>
    </row>
    <row r="9" spans="1:16" ht="15.75" x14ac:dyDescent="0.25">
      <c r="A9" s="8">
        <v>4</v>
      </c>
      <c r="B9" s="9" t="s">
        <v>25</v>
      </c>
      <c r="C9" s="19" t="s">
        <v>134</v>
      </c>
      <c r="D9" s="10">
        <v>11505</v>
      </c>
      <c r="E9" s="11" t="str">
        <f>VLOOKUP(D:D,'[1]Production Plan '!$B$7:$C$426,2,0)</f>
        <v>1.5 Inch Dia UPVC Thread Pipe</v>
      </c>
      <c r="F9" s="12" t="str">
        <f>VLOOKUP(D9,'[2]Production Plan '!$B$7:$G$398,6,0)</f>
        <v>Green</v>
      </c>
      <c r="G9" s="13">
        <v>430</v>
      </c>
      <c r="H9" s="14">
        <f>VLOOKUP(D:D,'[1]Production Plan '!$B:$F,5,0)</f>
        <v>2.9</v>
      </c>
      <c r="I9" s="39">
        <v>114</v>
      </c>
      <c r="J9" s="41">
        <f t="shared" si="0"/>
        <v>8.3761939750183687E-2</v>
      </c>
      <c r="K9" s="9">
        <f t="shared" si="1"/>
        <v>1361</v>
      </c>
      <c r="L9" s="15" t="str">
        <f>VLOOKUP(D:D,[3]Sheet1!$A:$G,7,0)</f>
        <v>Thread-Green</v>
      </c>
      <c r="M9" s="45"/>
      <c r="N9" s="35">
        <v>11</v>
      </c>
      <c r="O9" s="35">
        <f>12-N9</f>
        <v>1</v>
      </c>
      <c r="P9" s="37" t="s">
        <v>185</v>
      </c>
    </row>
    <row r="10" spans="1:16" ht="15.75" x14ac:dyDescent="0.25">
      <c r="A10" s="8">
        <v>5</v>
      </c>
      <c r="B10" s="9" t="s">
        <v>25</v>
      </c>
      <c r="C10" s="19" t="s">
        <v>21</v>
      </c>
      <c r="D10" s="10">
        <v>11506</v>
      </c>
      <c r="E10" s="11" t="str">
        <f>VLOOKUP(D:D,'[1]Production Plan '!$B$7:$C$426,2,0)</f>
        <v>2 Inch Dia UPVC Thread Pipe</v>
      </c>
      <c r="F10" s="12" t="str">
        <f>VLOOKUP(D10,'[2]Production Plan '!$B$7:$G$398,6,0)</f>
        <v>Green</v>
      </c>
      <c r="G10" s="13">
        <v>5</v>
      </c>
      <c r="H10" s="14">
        <f>VLOOKUP(D:D,'[1]Production Plan '!$B:$F,5,0)</f>
        <v>3.9</v>
      </c>
      <c r="I10" s="40"/>
      <c r="J10" s="42"/>
      <c r="K10" s="9">
        <f t="shared" si="1"/>
        <v>19.5</v>
      </c>
      <c r="L10" s="15" t="str">
        <f>VLOOKUP(D:D,[3]Sheet1!$A:$G,7,0)</f>
        <v>Thread-Green</v>
      </c>
      <c r="M10" s="45"/>
      <c r="N10" s="36"/>
      <c r="O10" s="36"/>
      <c r="P10" s="38"/>
    </row>
    <row r="11" spans="1:16" ht="15.75" x14ac:dyDescent="0.25">
      <c r="A11" s="8">
        <v>6</v>
      </c>
      <c r="B11" s="22" t="s">
        <v>26</v>
      </c>
      <c r="C11" s="9" t="s">
        <v>58</v>
      </c>
      <c r="D11" s="10">
        <v>13359</v>
      </c>
      <c r="E11" s="11" t="str">
        <f>VLOOKUP(D:D,'[1]Production Plan '!$B$7:$C$426,2,0)</f>
        <v>uPVC Pipe 1.5 Inch x 15 Ft Class-Economy (S)</v>
      </c>
      <c r="F11" s="12" t="str">
        <f>VLOOKUP(D11,'[2]Production Plan '!$B$7:$G$398,6,0)</f>
        <v>White</v>
      </c>
      <c r="G11" s="13">
        <v>70</v>
      </c>
      <c r="H11" s="14">
        <f>VLOOKUP(D:D,'[1]Production Plan '!$B:$F,5,0)</f>
        <v>1.72</v>
      </c>
      <c r="I11" s="39">
        <v>126</v>
      </c>
      <c r="J11" s="41">
        <f t="shared" si="0"/>
        <v>0.51136363636363646</v>
      </c>
      <c r="K11" s="9">
        <f t="shared" si="1"/>
        <v>246.39999999999998</v>
      </c>
      <c r="L11" s="15" t="str">
        <f>VLOOKUP(D:D,[3]Sheet1!$A:$G,7,0)</f>
        <v>Special-White</v>
      </c>
      <c r="M11" s="45"/>
      <c r="N11" s="35">
        <v>8</v>
      </c>
      <c r="O11" s="35">
        <f>12-N11</f>
        <v>4</v>
      </c>
      <c r="P11" s="37" t="s">
        <v>186</v>
      </c>
    </row>
    <row r="12" spans="1:16" ht="15.75" x14ac:dyDescent="0.25">
      <c r="A12" s="8">
        <v>7</v>
      </c>
      <c r="B12" s="22" t="s">
        <v>26</v>
      </c>
      <c r="C12" s="9"/>
      <c r="D12" s="10">
        <v>11105</v>
      </c>
      <c r="E12" s="11" t="str">
        <f>VLOOKUP(D:D,'[1]Production Plan '!$B$7:$C$426,2,0)</f>
        <v>1 Inch Dia Upvc Pipe Class-D</v>
      </c>
      <c r="F12" s="12" t="str">
        <f>VLOOKUP(D12,'[2]Production Plan '!$B$7:$G$398,6,0)</f>
        <v>Grey</v>
      </c>
      <c r="G12" s="13">
        <v>320</v>
      </c>
      <c r="H12" s="14">
        <f>VLOOKUP(D:D,'[1]Production Plan '!$B:$F,5,0)</f>
        <v>0.85</v>
      </c>
      <c r="I12" s="40"/>
      <c r="J12" s="42"/>
      <c r="K12" s="9">
        <f t="shared" si="1"/>
        <v>272</v>
      </c>
      <c r="L12" s="15" t="str">
        <f>VLOOKUP(D:D,[3]Sheet1!$A:$G,7,0)</f>
        <v>STD-Grey</v>
      </c>
      <c r="M12" s="45"/>
      <c r="N12" s="36"/>
      <c r="O12" s="36"/>
      <c r="P12" s="38"/>
    </row>
    <row r="13" spans="1:16" ht="31.5" x14ac:dyDescent="0.25">
      <c r="A13" s="8">
        <v>8</v>
      </c>
      <c r="B13" s="22" t="s">
        <v>28</v>
      </c>
      <c r="C13" s="20" t="s">
        <v>21</v>
      </c>
      <c r="D13" s="10">
        <v>11303</v>
      </c>
      <c r="E13" s="11" t="str">
        <f>VLOOKUP(D:D,'[1]Production Plan '!$B$7:$C$426,2,0)</f>
        <v>50mm Dia UPVC Pipe Class-ISO</v>
      </c>
      <c r="F13" s="12" t="str">
        <f>VLOOKUP(D13,'[2]Production Plan '!$B$7:$G$398,6,0)</f>
        <v>White</v>
      </c>
      <c r="G13" s="61">
        <v>460</v>
      </c>
      <c r="H13" s="14">
        <f>VLOOKUP(D:D,'[1]Production Plan '!$B:$F,5,0)</f>
        <v>2.2000000000000002</v>
      </c>
      <c r="I13" s="13">
        <v>63</v>
      </c>
      <c r="J13" s="16">
        <f t="shared" si="0"/>
        <v>5.8604651162790698E-2</v>
      </c>
      <c r="K13" s="9">
        <f t="shared" si="1"/>
        <v>1075</v>
      </c>
      <c r="L13" s="15" t="str">
        <f>VLOOKUP(D:D,[3]Sheet1!$A:$G,7,0)</f>
        <v>SWR-White</v>
      </c>
      <c r="M13" s="45"/>
      <c r="N13" s="17">
        <v>11</v>
      </c>
      <c r="O13" s="17">
        <f t="shared" ref="O13:O17" si="3">12-N13</f>
        <v>1</v>
      </c>
      <c r="P13" s="18" t="s">
        <v>185</v>
      </c>
    </row>
    <row r="14" spans="1:16" ht="78.75" x14ac:dyDescent="0.25">
      <c r="A14" s="8">
        <v>9</v>
      </c>
      <c r="B14" s="9" t="s">
        <v>30</v>
      </c>
      <c r="C14" s="9" t="s">
        <v>77</v>
      </c>
      <c r="D14" s="10">
        <v>11309</v>
      </c>
      <c r="E14" s="11" t="str">
        <f>VLOOKUP(D:D,'[1]Production Plan '!$B$7:$C$426,2,0)</f>
        <v>110mm Dia UPVC Pipe ISO-2</v>
      </c>
      <c r="F14" s="12" t="str">
        <f>VLOOKUP(D14,'[2]Production Plan '!$B$7:$G$398,6,0)</f>
        <v>White</v>
      </c>
      <c r="G14" s="13">
        <v>155</v>
      </c>
      <c r="H14" s="14">
        <f>VLOOKUP(D:D,'[1]Production Plan '!$B:$F,5,0)</f>
        <v>11</v>
      </c>
      <c r="I14" s="13">
        <v>184</v>
      </c>
      <c r="J14" s="16">
        <f t="shared" si="0"/>
        <v>9.7406034939121228E-2</v>
      </c>
      <c r="K14" s="9">
        <f t="shared" si="1"/>
        <v>1889</v>
      </c>
      <c r="L14" s="15" t="str">
        <f>VLOOKUP(D:D,[3]Sheet1!$A:$G,7,0)</f>
        <v>SWR-White</v>
      </c>
      <c r="M14" s="45"/>
      <c r="N14" s="17">
        <v>8</v>
      </c>
      <c r="O14" s="17">
        <f t="shared" si="3"/>
        <v>4</v>
      </c>
      <c r="P14" s="18" t="s">
        <v>187</v>
      </c>
    </row>
    <row r="15" spans="1:16" ht="31.5" x14ac:dyDescent="0.25">
      <c r="A15" s="8">
        <v>10</v>
      </c>
      <c r="B15" s="9" t="s">
        <v>32</v>
      </c>
      <c r="C15" s="9"/>
      <c r="D15" s="10">
        <v>11335</v>
      </c>
      <c r="E15" s="11" t="str">
        <f>VLOOKUP(D:D,'[1]Production Plan '!$B$7:$C$426,2,0)</f>
        <v>160mm Dia Upvc PN-8 Pipe</v>
      </c>
      <c r="F15" s="12" t="str">
        <f>VLOOKUP(D15,'[2]Production Plan '!$B$7:$G$398,6,0)</f>
        <v>White</v>
      </c>
      <c r="G15" s="13">
        <v>0</v>
      </c>
      <c r="H15" s="14">
        <f>VLOOKUP(D:D,'[1]Production Plan '!$B:$F,5,0)</f>
        <v>26.6</v>
      </c>
      <c r="I15" s="13">
        <v>0</v>
      </c>
      <c r="J15" s="16" t="e">
        <f t="shared" si="0"/>
        <v>#DIV/0!</v>
      </c>
      <c r="K15" s="9">
        <f t="shared" si="1"/>
        <v>0</v>
      </c>
      <c r="L15" s="15" t="str">
        <f>VLOOKUP(D:D,[3]Sheet1!$A:$G,7,0)</f>
        <v>STD-White</v>
      </c>
      <c r="M15" s="45"/>
      <c r="N15" s="17">
        <v>0</v>
      </c>
      <c r="O15" s="17">
        <f t="shared" si="3"/>
        <v>12</v>
      </c>
      <c r="P15" s="18" t="s">
        <v>52</v>
      </c>
    </row>
    <row r="16" spans="1:16" ht="31.5" x14ac:dyDescent="0.25">
      <c r="A16" s="8">
        <v>11</v>
      </c>
      <c r="B16" s="9" t="s">
        <v>33</v>
      </c>
      <c r="C16" s="20"/>
      <c r="D16" s="10">
        <v>11325</v>
      </c>
      <c r="E16" s="11" t="str">
        <f>VLOOKUP(D:D,'[1]Production Plan '!$B$7:$C$426,2,0)</f>
        <v>110 mm Dia UPVC Pipe SWR-3</v>
      </c>
      <c r="F16" s="12" t="str">
        <f>VLOOKUP(D16,'[2]Production Plan '!$B$7:$G$398,6,0)</f>
        <v>White</v>
      </c>
      <c r="G16" s="13">
        <v>0</v>
      </c>
      <c r="H16" s="14">
        <f>VLOOKUP(D:D,'[1]Production Plan '!$B:$F,5,0)</f>
        <v>12.9</v>
      </c>
      <c r="I16" s="13">
        <v>0</v>
      </c>
      <c r="J16" s="16" t="e">
        <f t="shared" si="0"/>
        <v>#DIV/0!</v>
      </c>
      <c r="K16" s="9">
        <f t="shared" si="1"/>
        <v>0</v>
      </c>
      <c r="L16" s="15" t="str">
        <f>VLOOKUP(D:D,[3]Sheet1!$A:$G,7,0)</f>
        <v>SWR-White</v>
      </c>
      <c r="M16" s="45"/>
      <c r="N16" s="17">
        <v>0</v>
      </c>
      <c r="O16" s="17">
        <f t="shared" si="3"/>
        <v>12</v>
      </c>
      <c r="P16" s="18" t="s">
        <v>52</v>
      </c>
    </row>
    <row r="17" spans="1:16" ht="110.25" x14ac:dyDescent="0.25">
      <c r="A17" s="8">
        <v>12</v>
      </c>
      <c r="B17" s="9" t="s">
        <v>34</v>
      </c>
      <c r="C17" s="20" t="s">
        <v>134</v>
      </c>
      <c r="D17" s="10">
        <v>11502</v>
      </c>
      <c r="E17" s="11" t="str">
        <f>VLOOKUP(D:D,'[1]Production Plan '!$B$7:$C$426,2,0)</f>
        <v>0.75 Inch Dia UPVC Thread Pipe</v>
      </c>
      <c r="F17" s="12" t="str">
        <f>VLOOKUP(D17,'[2]Production Plan '!$B$7:$G$398,6,0)</f>
        <v>Green</v>
      </c>
      <c r="G17" s="13">
        <v>740</v>
      </c>
      <c r="H17" s="14">
        <f>VLOOKUP(D:D,'[1]Production Plan '!$B:$F,5,0)</f>
        <v>1.24</v>
      </c>
      <c r="I17" s="13">
        <v>52</v>
      </c>
      <c r="J17" s="16">
        <f t="shared" si="0"/>
        <v>5.3630363036303627E-2</v>
      </c>
      <c r="K17" s="9">
        <f t="shared" si="1"/>
        <v>969.6</v>
      </c>
      <c r="L17" s="15" t="str">
        <f>VLOOKUP(D:D,[3]Sheet1!$A:$G,7,0)</f>
        <v>Thread-Green</v>
      </c>
      <c r="M17" s="45"/>
      <c r="N17" s="17">
        <v>0</v>
      </c>
      <c r="O17" s="17">
        <f t="shared" si="3"/>
        <v>12</v>
      </c>
      <c r="P17" s="18" t="s">
        <v>188</v>
      </c>
    </row>
    <row r="18" spans="1:16" ht="15.75" x14ac:dyDescent="0.25">
      <c r="A18" s="8">
        <v>13</v>
      </c>
      <c r="B18" s="9" t="s">
        <v>35</v>
      </c>
      <c r="C18" s="9" t="s">
        <v>79</v>
      </c>
      <c r="D18" s="10">
        <v>11391</v>
      </c>
      <c r="E18" s="11" t="str">
        <f>VLOOKUP(D:D,'[1]Production Plan '!$B$7:$C$426,2,0)</f>
        <v>4 Inch Dia UPVC Pipe Class-D SPL</v>
      </c>
      <c r="F18" s="12" t="str">
        <f>VLOOKUP(D18,'[2]Production Plan '!$B$7:$G$398,6,0)</f>
        <v>Grey</v>
      </c>
      <c r="G18" s="13">
        <v>16</v>
      </c>
      <c r="H18" s="14">
        <f>VLOOKUP(D:D,'[1]Production Plan '!$B:$F,5,0)</f>
        <v>20</v>
      </c>
      <c r="I18" s="39">
        <v>374</v>
      </c>
      <c r="J18" s="41">
        <f t="shared" si="0"/>
        <v>0.5389048991354467</v>
      </c>
      <c r="K18" s="9">
        <f t="shared" si="1"/>
        <v>694</v>
      </c>
      <c r="L18" s="15" t="str">
        <f>VLOOKUP(D:D,[3]Sheet1!$A:$G,7,0)</f>
        <v>Three Layer</v>
      </c>
      <c r="M18" s="45"/>
      <c r="N18" s="35">
        <v>4</v>
      </c>
      <c r="O18" s="35">
        <f>12-N18</f>
        <v>8</v>
      </c>
      <c r="P18" s="37" t="s">
        <v>189</v>
      </c>
    </row>
    <row r="19" spans="1:16" ht="15.75" x14ac:dyDescent="0.25">
      <c r="A19" s="8">
        <v>14</v>
      </c>
      <c r="B19" s="9" t="s">
        <v>35</v>
      </c>
      <c r="C19" s="9"/>
      <c r="D19" s="10">
        <v>13238</v>
      </c>
      <c r="E19" s="11" t="str">
        <f>VLOOKUP(D:D,'[1]Production Plan '!$B$7:$C$426,2,0)</f>
        <v>4 Inch Dia Class -C SPL(4.50)</v>
      </c>
      <c r="F19" s="12" t="str">
        <f>VLOOKUP(D19,'[2]Production Plan '!$B$7:$G$398,6,0)</f>
        <v>Grey</v>
      </c>
      <c r="G19" s="13">
        <v>67</v>
      </c>
      <c r="H19" s="14">
        <f>VLOOKUP(D:D,'[1]Production Plan '!$B:$F,5,0)</f>
        <v>15.5</v>
      </c>
      <c r="I19" s="58"/>
      <c r="J19" s="49"/>
      <c r="K19" s="9">
        <f t="shared" si="1"/>
        <v>1038.5</v>
      </c>
      <c r="L19" s="15" t="e">
        <f>VLOOKUP(D:D,[3]Sheet1!$A:$G,7,0)</f>
        <v>#N/A</v>
      </c>
      <c r="M19" s="45"/>
      <c r="N19" s="50"/>
      <c r="O19" s="50"/>
      <c r="P19" s="51"/>
    </row>
    <row r="20" spans="1:16" ht="15.75" x14ac:dyDescent="0.25">
      <c r="A20" s="8">
        <v>15</v>
      </c>
      <c r="B20" s="9" t="s">
        <v>35</v>
      </c>
      <c r="C20" s="9"/>
      <c r="D20" s="10">
        <v>13239</v>
      </c>
      <c r="E20" s="11" t="str">
        <f>VLOOKUP(D:D,'[1]Production Plan '!$B$7:$C$426,2,0)</f>
        <v>4 Inch Dia Class Filter -C SPL(4.50)</v>
      </c>
      <c r="F20" s="12" t="str">
        <f>VLOOKUP(D20,'[2]Production Plan '!$B$7:$G$398,6,0)</f>
        <v>Grey</v>
      </c>
      <c r="G20" s="13">
        <v>0</v>
      </c>
      <c r="H20" s="14">
        <f>VLOOKUP(D:D,'[1]Production Plan '!$B:$F,5,0)</f>
        <v>7.75</v>
      </c>
      <c r="I20" s="58"/>
      <c r="J20" s="49"/>
      <c r="K20" s="9">
        <f t="shared" si="1"/>
        <v>0</v>
      </c>
      <c r="L20" s="15" t="e">
        <f>VLOOKUP(D:D,[3]Sheet1!$A:$G,7,0)</f>
        <v>#N/A</v>
      </c>
      <c r="M20" s="45"/>
      <c r="N20" s="50"/>
      <c r="O20" s="50"/>
      <c r="P20" s="51"/>
    </row>
    <row r="21" spans="1:16" ht="15.75" x14ac:dyDescent="0.25">
      <c r="A21" s="8">
        <v>16</v>
      </c>
      <c r="B21" s="9" t="s">
        <v>35</v>
      </c>
      <c r="C21" s="9" t="s">
        <v>21</v>
      </c>
      <c r="D21" s="10">
        <v>11399</v>
      </c>
      <c r="E21" s="11" t="str">
        <f>VLOOKUP(D:D,'[1]Production Plan '!$B$7:$C$426,2,0)</f>
        <v>4 Inch Dia Upvc Pipe Class -D SPL Filter</v>
      </c>
      <c r="F21" s="12" t="str">
        <f>VLOOKUP(D21,'[2]Production Plan '!$B$7:$G$398,6,0)</f>
        <v>Grey</v>
      </c>
      <c r="G21" s="13">
        <v>5</v>
      </c>
      <c r="H21" s="14">
        <f>VLOOKUP(D:D,'[1]Production Plan '!$B:$F,5,0)</f>
        <v>10</v>
      </c>
      <c r="I21" s="40"/>
      <c r="J21" s="42"/>
      <c r="K21" s="9">
        <f t="shared" si="1"/>
        <v>50</v>
      </c>
      <c r="L21" s="15" t="str">
        <f>VLOOKUP(D:D,[3]Sheet1!$A:$G,7,0)</f>
        <v xml:space="preserve">Three Layer </v>
      </c>
      <c r="M21" s="45"/>
      <c r="N21" s="36"/>
      <c r="O21" s="36"/>
      <c r="P21" s="38"/>
    </row>
    <row r="22" spans="1:16" ht="15.75" x14ac:dyDescent="0.25">
      <c r="A22" s="8">
        <v>17</v>
      </c>
      <c r="B22" s="9" t="s">
        <v>36</v>
      </c>
      <c r="C22" s="9" t="s">
        <v>31</v>
      </c>
      <c r="D22" s="10">
        <v>13430</v>
      </c>
      <c r="E22" s="11" t="str">
        <f>VLOOKUP(D:D,'[1]Production Plan '!$B$7:$C$426,2,0)</f>
        <v>5 Inch Dia Upvc Pipe Class-E 1</v>
      </c>
      <c r="F22" s="12" t="str">
        <f>VLOOKUP(D22,'[2]Production Plan '!$B$7:$G$398,6,0)</f>
        <v>Grey</v>
      </c>
      <c r="G22" s="13">
        <v>50</v>
      </c>
      <c r="H22" s="14">
        <f>VLOOKUP(D:D,'[1]Production Plan '!$B:$F,5,0)</f>
        <v>37.4</v>
      </c>
      <c r="I22" s="39">
        <v>226</v>
      </c>
      <c r="J22" s="41">
        <f t="shared" si="0"/>
        <v>0.10782442748091603</v>
      </c>
      <c r="K22" s="9">
        <f t="shared" si="1"/>
        <v>2096</v>
      </c>
      <c r="L22" s="15" t="e">
        <f>VLOOKUP(D:D,[3]Sheet1!$A:$G,7,0)</f>
        <v>#N/A</v>
      </c>
      <c r="M22" s="45"/>
      <c r="N22" s="35">
        <v>11</v>
      </c>
      <c r="O22" s="35">
        <f>12-N22</f>
        <v>1</v>
      </c>
      <c r="P22" s="37" t="s">
        <v>185</v>
      </c>
    </row>
    <row r="23" spans="1:16" ht="15.75" x14ac:dyDescent="0.25">
      <c r="A23" s="8">
        <v>18</v>
      </c>
      <c r="B23" s="9" t="s">
        <v>36</v>
      </c>
      <c r="C23" s="9" t="s">
        <v>21</v>
      </c>
      <c r="D23" s="10">
        <v>13431</v>
      </c>
      <c r="E23" s="11" t="str">
        <f>VLOOKUP(D:D,'[1]Production Plan '!$B$7:$C$426,2,0)</f>
        <v>5 Inch Upvc Pipe (Filter) Class-E 1</v>
      </c>
      <c r="F23" s="12" t="str">
        <f>VLOOKUP(D23,'[2]Production Plan '!$B$7:$G$398,6,0)</f>
        <v>Grey</v>
      </c>
      <c r="G23" s="13">
        <v>0</v>
      </c>
      <c r="H23" s="14">
        <f>VLOOKUP(D:D,'[1]Production Plan '!$B:$F,5,0)</f>
        <v>18.7</v>
      </c>
      <c r="I23" s="40"/>
      <c r="J23" s="42"/>
      <c r="K23" s="9">
        <f t="shared" si="1"/>
        <v>0</v>
      </c>
      <c r="L23" s="15" t="e">
        <f>VLOOKUP(D:D,[3]Sheet1!$A:$G,7,0)</f>
        <v>#N/A</v>
      </c>
      <c r="M23" s="45"/>
      <c r="N23" s="36"/>
      <c r="O23" s="36"/>
      <c r="P23" s="38"/>
    </row>
    <row r="24" spans="1:16" ht="15.75" x14ac:dyDescent="0.25">
      <c r="A24" s="8">
        <v>19</v>
      </c>
      <c r="B24" s="9" t="s">
        <v>38</v>
      </c>
      <c r="C24" s="20" t="s">
        <v>190</v>
      </c>
      <c r="D24" s="10">
        <v>11149</v>
      </c>
      <c r="E24" s="11" t="str">
        <f>VLOOKUP(D:D,'[1]Production Plan '!$B$7:$C$426,2,0)</f>
        <v>4 Inch Dia UPVC Pipe Class-D</v>
      </c>
      <c r="F24" s="12" t="str">
        <f>VLOOKUP(D24,'[2]Production Plan '!$B$7:$G$398,6,0)</f>
        <v>Grey</v>
      </c>
      <c r="G24" s="13">
        <v>59</v>
      </c>
      <c r="H24" s="14">
        <f>VLOOKUP(D:D,'[1]Production Plan '!$B:$F,5,0)</f>
        <v>19.600000000000001</v>
      </c>
      <c r="I24" s="39">
        <v>275</v>
      </c>
      <c r="J24" s="41">
        <f t="shared" si="0"/>
        <v>0.19211960318569232</v>
      </c>
      <c r="K24" s="9">
        <f t="shared" si="1"/>
        <v>1431.4</v>
      </c>
      <c r="L24" s="15" t="str">
        <f>VLOOKUP(D:D,[3]Sheet1!$A:$G,7,0)</f>
        <v>SBS-Grey</v>
      </c>
      <c r="M24" s="45"/>
      <c r="N24" s="35">
        <v>10</v>
      </c>
      <c r="O24" s="35">
        <f>12-N24</f>
        <v>2</v>
      </c>
      <c r="P24" s="37" t="s">
        <v>191</v>
      </c>
    </row>
    <row r="25" spans="1:16" ht="15.75" x14ac:dyDescent="0.25">
      <c r="A25" s="8">
        <v>20</v>
      </c>
      <c r="B25" s="9" t="s">
        <v>38</v>
      </c>
      <c r="C25" s="9" t="s">
        <v>21</v>
      </c>
      <c r="D25" s="10">
        <v>11150</v>
      </c>
      <c r="E25" s="11" t="str">
        <f>VLOOKUP(D:D,'[1]Production Plan '!$B$7:$C$426,2,0)</f>
        <v>4 Inch Dia UPVC Filter Class - D</v>
      </c>
      <c r="F25" s="12" t="str">
        <f>VLOOKUP(D25,'[2]Production Plan '!$B$7:$G$398,6,0)</f>
        <v>Grey</v>
      </c>
      <c r="G25" s="13">
        <v>0</v>
      </c>
      <c r="H25" s="14">
        <f>VLOOKUP(D:D,'[1]Production Plan '!$B:$F,5,0)</f>
        <v>9.8000000000000007</v>
      </c>
      <c r="I25" s="40"/>
      <c r="J25" s="42"/>
      <c r="K25" s="9">
        <f t="shared" si="1"/>
        <v>0</v>
      </c>
      <c r="L25" s="15" t="str">
        <f>VLOOKUP(D:D,[3]Sheet1!$A:$G,7,0)</f>
        <v>SBS-Grey</v>
      </c>
      <c r="M25" s="45"/>
      <c r="N25" s="36"/>
      <c r="O25" s="36"/>
      <c r="P25" s="38"/>
    </row>
    <row r="26" spans="1:16" ht="31.5" x14ac:dyDescent="0.25">
      <c r="A26" s="8">
        <v>21</v>
      </c>
      <c r="B26" s="9" t="s">
        <v>39</v>
      </c>
      <c r="C26" s="9" t="s">
        <v>132</v>
      </c>
      <c r="D26" s="10">
        <v>12537</v>
      </c>
      <c r="E26" s="11" t="str">
        <f>VLOOKUP(D:D,'[1]Production Plan '!$B$7:$C$426,2,0)</f>
        <v>80mm Dia Upvc Pipe SWR-Special (White)</v>
      </c>
      <c r="F26" s="12" t="str">
        <f>VLOOKUP(D26,'[2]Production Plan '!$B$7:$G$398,6,0)</f>
        <v>White</v>
      </c>
      <c r="G26" s="13">
        <v>330</v>
      </c>
      <c r="H26" s="14">
        <f>VLOOKUP(D:D,'[1]Production Plan '!$B:$F,5,0)</f>
        <v>5.4</v>
      </c>
      <c r="I26" s="13">
        <v>396</v>
      </c>
      <c r="J26" s="16">
        <f t="shared" si="0"/>
        <v>0.18181818181818182</v>
      </c>
      <c r="K26" s="9">
        <f t="shared" si="1"/>
        <v>2178</v>
      </c>
      <c r="L26" s="15" t="str">
        <f>VLOOKUP(D:D,[3]Sheet1!$A:$G,7,0)</f>
        <v>SWR-White</v>
      </c>
      <c r="M26" s="45"/>
      <c r="N26" s="17">
        <v>11</v>
      </c>
      <c r="O26" s="17">
        <f>12-N26</f>
        <v>1</v>
      </c>
      <c r="P26" s="18" t="s">
        <v>185</v>
      </c>
    </row>
    <row r="27" spans="1:16" ht="31.5" x14ac:dyDescent="0.25">
      <c r="A27" s="8">
        <v>22</v>
      </c>
      <c r="B27" s="9" t="s">
        <v>40</v>
      </c>
      <c r="C27" s="9" t="s">
        <v>192</v>
      </c>
      <c r="D27" s="10">
        <v>13346</v>
      </c>
      <c r="E27" s="11" t="str">
        <f>VLOOKUP(D:D,'[1]Production Plan '!$B$7:$C$426,2,0)</f>
        <v>1.5 Inch Dia Upvc Pipe Class D-SP ( Grey)(S)</v>
      </c>
      <c r="F27" s="12" t="str">
        <f>VLOOKUP(D27,'[2]Production Plan '!$B$7:$G$398,6,0)</f>
        <v>Grey</v>
      </c>
      <c r="G27" s="13">
        <v>490</v>
      </c>
      <c r="H27" s="14">
        <f>VLOOKUP(D:D,'[1]Production Plan '!$B:$F,5,0)</f>
        <v>2.75</v>
      </c>
      <c r="I27" s="13">
        <v>88</v>
      </c>
      <c r="J27" s="16">
        <f t="shared" si="0"/>
        <v>6.1302681992337162E-2</v>
      </c>
      <c r="K27" s="9">
        <f t="shared" si="1"/>
        <v>1435.5</v>
      </c>
      <c r="L27" s="15" t="str">
        <f>VLOOKUP(D:D,[3]Sheet1!$A:$G,7,0)</f>
        <v>Economy- Grey</v>
      </c>
      <c r="M27" s="45"/>
      <c r="N27" s="17">
        <v>11</v>
      </c>
      <c r="O27" s="17">
        <f t="shared" ref="O27:O30" si="4">12-N27</f>
        <v>1</v>
      </c>
      <c r="P27" s="18" t="s">
        <v>185</v>
      </c>
    </row>
    <row r="28" spans="1:16" ht="31.5" x14ac:dyDescent="0.25">
      <c r="A28" s="8">
        <v>23</v>
      </c>
      <c r="B28" s="9" t="s">
        <v>41</v>
      </c>
      <c r="C28" s="9" t="s">
        <v>134</v>
      </c>
      <c r="D28" s="10">
        <v>11503</v>
      </c>
      <c r="E28" s="11" t="str">
        <f>VLOOKUP(D:D,'[1]Production Plan '!$B$7:$C$426,2,0)</f>
        <v>1 Inch Dia UPVC Thread Pipe</v>
      </c>
      <c r="F28" s="12" t="str">
        <f>VLOOKUP(D28,'[2]Production Plan '!$B$7:$G$398,6,0)</f>
        <v>Green</v>
      </c>
      <c r="G28" s="13">
        <v>950</v>
      </c>
      <c r="H28" s="14">
        <f>VLOOKUP(D:D,'[1]Production Plan '!$B:$F,5,0)</f>
        <v>1.65</v>
      </c>
      <c r="I28" s="13">
        <v>40</v>
      </c>
      <c r="J28" s="16">
        <f t="shared" si="0"/>
        <v>2.4883359253499222E-2</v>
      </c>
      <c r="K28" s="9">
        <f t="shared" si="1"/>
        <v>1607.5</v>
      </c>
      <c r="L28" s="15" t="str">
        <f>VLOOKUP(D:D,[3]Sheet1!$A:$G,7,0)</f>
        <v>Thread-Green</v>
      </c>
      <c r="M28" s="45"/>
      <c r="N28" s="17">
        <v>11</v>
      </c>
      <c r="O28" s="17">
        <f t="shared" si="4"/>
        <v>1</v>
      </c>
      <c r="P28" s="18" t="s">
        <v>185</v>
      </c>
    </row>
    <row r="29" spans="1:16" ht="31.5" x14ac:dyDescent="0.25">
      <c r="A29" s="8">
        <v>24</v>
      </c>
      <c r="B29" s="9" t="s">
        <v>42</v>
      </c>
      <c r="C29" s="9" t="s">
        <v>46</v>
      </c>
      <c r="D29" s="10">
        <v>12569</v>
      </c>
      <c r="E29" s="11" t="str">
        <f>VLOOKUP(D:D,'[1]Production Plan '!$B$7:$C$426,2,0)</f>
        <v>0.75 Inc HDPE Coil Pipe-Green</v>
      </c>
      <c r="F29" s="12" t="str">
        <f>VLOOKUP(D29,'[2]Production Plan '!$B$7:$G$398,6,0)</f>
        <v>Green</v>
      </c>
      <c r="G29" s="13">
        <v>31</v>
      </c>
      <c r="H29" s="14">
        <f>VLOOKUP(D:D,'[1]Production Plan '!$B:$F,5,0)</f>
        <v>24.5</v>
      </c>
      <c r="I29" s="13">
        <v>20</v>
      </c>
      <c r="J29" s="16">
        <f t="shared" si="0"/>
        <v>2.5657472738935216E-2</v>
      </c>
      <c r="K29" s="9">
        <f t="shared" si="1"/>
        <v>779.5</v>
      </c>
      <c r="L29" s="15" t="str">
        <f>VLOOKUP(D:D,[3]Sheet1!$A:$G,7,0)</f>
        <v>HDPE D/L Green</v>
      </c>
      <c r="M29" s="45"/>
      <c r="N29" s="17">
        <v>11</v>
      </c>
      <c r="O29" s="17">
        <f t="shared" si="4"/>
        <v>1</v>
      </c>
      <c r="P29" s="18" t="s">
        <v>185</v>
      </c>
    </row>
    <row r="30" spans="1:16" ht="63" x14ac:dyDescent="0.25">
      <c r="A30" s="8">
        <v>25</v>
      </c>
      <c r="B30" s="9" t="s">
        <v>43</v>
      </c>
      <c r="C30" s="9" t="s">
        <v>54</v>
      </c>
      <c r="D30" s="10">
        <v>11317</v>
      </c>
      <c r="E30" s="11" t="str">
        <f>VLOOKUP(D:D,'[1]Production Plan '!$B$7:$C$426,2,0)</f>
        <v>110mm Dia Upvc Pipe SWR-1 Special (White)</v>
      </c>
      <c r="F30" s="12" t="str">
        <f>VLOOKUP(D30,'[2]Production Plan '!$B$7:$G$398,6,0)</f>
        <v>White</v>
      </c>
      <c r="G30" s="13">
        <v>388</v>
      </c>
      <c r="H30" s="14">
        <f>VLOOKUP(D:D,'[1]Production Plan '!$B:$F,5,0)</f>
        <v>10</v>
      </c>
      <c r="I30" s="13">
        <v>710</v>
      </c>
      <c r="J30" s="16">
        <f t="shared" si="0"/>
        <v>0.15468409586056645</v>
      </c>
      <c r="K30" s="9">
        <f t="shared" si="1"/>
        <v>4590</v>
      </c>
      <c r="L30" s="15" t="str">
        <f>VLOOKUP(D:D,[3]Sheet1!$A:$G,7,0)</f>
        <v>SWR-White</v>
      </c>
      <c r="M30" s="45"/>
      <c r="N30" s="17">
        <v>7</v>
      </c>
      <c r="O30" s="17">
        <f t="shared" si="4"/>
        <v>5</v>
      </c>
      <c r="P30" s="18" t="s">
        <v>193</v>
      </c>
    </row>
    <row r="31" spans="1:16" ht="31.5" x14ac:dyDescent="0.25">
      <c r="A31" s="8">
        <v>26</v>
      </c>
      <c r="B31" s="9" t="s">
        <v>44</v>
      </c>
      <c r="C31" s="9" t="s">
        <v>46</v>
      </c>
      <c r="D31" s="10">
        <v>13387</v>
      </c>
      <c r="E31" s="11" t="str">
        <f>VLOOKUP(D:D,'[1]Production Plan '!$B$7:$C$426,2,0)</f>
        <v>CPVC Pipe 3/4''(20mm)X3M-SDR-13.5</v>
      </c>
      <c r="F31" s="12" t="str">
        <f>VLOOKUP(D31,'[2]Production Plan '!$B$7:$G$398,6,0)</f>
        <v>Off White</v>
      </c>
      <c r="G31" s="13">
        <v>1100</v>
      </c>
      <c r="H31" s="14">
        <f>VLOOKUP(D:D,'[1]Production Plan '!$B:$F,5,0)</f>
        <v>0.55000000000000004</v>
      </c>
      <c r="I31" s="27">
        <v>30</v>
      </c>
      <c r="J31" s="29">
        <f t="shared" si="0"/>
        <v>4.7244094488188976E-2</v>
      </c>
      <c r="K31" s="9">
        <f t="shared" si="1"/>
        <v>635</v>
      </c>
      <c r="L31" s="15" t="str">
        <f>VLOOKUP(D:D,[3]Sheet1!$A:$G,7,0)</f>
        <v>Com..</v>
      </c>
      <c r="M31" s="45"/>
      <c r="N31" s="25">
        <v>11</v>
      </c>
      <c r="O31" s="25">
        <f>12-N31</f>
        <v>1</v>
      </c>
      <c r="P31" s="30" t="s">
        <v>185</v>
      </c>
    </row>
    <row r="32" spans="1:16" ht="15.75" x14ac:dyDescent="0.25">
      <c r="A32" s="8"/>
      <c r="B32" s="9"/>
      <c r="C32" s="9"/>
      <c r="D32" s="9"/>
      <c r="E32" s="11"/>
      <c r="F32" s="12"/>
      <c r="G32" s="7"/>
      <c r="H32" s="14"/>
      <c r="I32" s="21">
        <f>SUM(I6:I31)</f>
        <v>2939</v>
      </c>
      <c r="J32" s="21"/>
      <c r="K32" s="21">
        <f>SUM(K6:K31)</f>
        <v>27106.400000000001</v>
      </c>
      <c r="L32" s="15"/>
      <c r="M32" s="45"/>
      <c r="N32" s="17"/>
      <c r="O32" s="17"/>
      <c r="P32" s="9"/>
    </row>
  </sheetData>
  <mergeCells count="29">
    <mergeCell ref="N24:N25"/>
    <mergeCell ref="O24:O25"/>
    <mergeCell ref="P24:P25"/>
    <mergeCell ref="N18:N21"/>
    <mergeCell ref="O18:O21"/>
    <mergeCell ref="P18:P21"/>
    <mergeCell ref="I22:I23"/>
    <mergeCell ref="J22:J23"/>
    <mergeCell ref="N22:N23"/>
    <mergeCell ref="O22:O23"/>
    <mergeCell ref="P22:P23"/>
    <mergeCell ref="N9:N10"/>
    <mergeCell ref="O9:O10"/>
    <mergeCell ref="P9:P10"/>
    <mergeCell ref="I11:I12"/>
    <mergeCell ref="J11:J12"/>
    <mergeCell ref="N11:N12"/>
    <mergeCell ref="O11:O12"/>
    <mergeCell ref="P11:P12"/>
    <mergeCell ref="F1:J1"/>
    <mergeCell ref="F2:J2"/>
    <mergeCell ref="F3:L3"/>
    <mergeCell ref="M6:M32"/>
    <mergeCell ref="I9:I10"/>
    <mergeCell ref="J9:J10"/>
    <mergeCell ref="I18:I21"/>
    <mergeCell ref="J18:J21"/>
    <mergeCell ref="I24:I25"/>
    <mergeCell ref="J24:J25"/>
  </mergeCells>
  <conditionalFormatting sqref="E32 E6:E30">
    <cfRule type="duplicateValues" dxfId="1" priority="1"/>
  </conditionalFormatting>
  <conditionalFormatting sqref="E31">
    <cfRule type="duplicateValues" dxfId="0" priority="2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01.09.25 A Shiift   </vt:lpstr>
      <vt:lpstr>01.09.25 B Shiift   </vt:lpstr>
      <vt:lpstr>02.09.25 A Shiift </vt:lpstr>
      <vt:lpstr>02.09.25 B Shiift  </vt:lpstr>
      <vt:lpstr>03.09.25 A Shiift</vt:lpstr>
      <vt:lpstr>03.09.25 B Shiift </vt:lpstr>
      <vt:lpstr>04.09.25 A Shiift </vt:lpstr>
      <vt:lpstr>04.09.25 B Shiift </vt:lpstr>
      <vt:lpstr>05.09.25 A Shiift </vt:lpstr>
      <vt:lpstr>05.09.25 B Shiift </vt:lpstr>
      <vt:lpstr>06.09.25  A Shiift </vt:lpstr>
      <vt:lpstr>06.09.25  B Shiift </vt:lpstr>
      <vt:lpstr>06.09.25  C Shiift </vt:lpstr>
      <vt:lpstr>07.09.25  A Shiift  </vt:lpstr>
      <vt:lpstr>07.09.25  B Shiift  </vt:lpstr>
      <vt:lpstr>08.09.25 A Shiift  </vt:lpstr>
      <vt:lpstr>08.09.25 B Shiift  </vt:lpstr>
      <vt:lpstr>09.09.25 A Shiift</vt:lpstr>
      <vt:lpstr>09.09.25 B Shiift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Faisal Imam, Asst. Engineer - Production, AOPL</dc:creator>
  <cp:lastModifiedBy>Faisal Imam, Asst. Engineer - Production, AOPL</cp:lastModifiedBy>
  <dcterms:created xsi:type="dcterms:W3CDTF">2025-09-26T04:30:41Z</dcterms:created>
  <dcterms:modified xsi:type="dcterms:W3CDTF">2025-09-29T09:54:58Z</dcterms:modified>
</cp:coreProperties>
</file>